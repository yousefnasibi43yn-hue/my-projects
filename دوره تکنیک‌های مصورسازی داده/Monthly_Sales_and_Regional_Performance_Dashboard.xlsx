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bas\Desktop\انجام پروژه\هفته چهارم\تسک اول\تکنیک های مصور سازی داده\"/>
    </mc:Choice>
  </mc:AlternateContent>
  <xr:revisionPtr revIDLastSave="0" documentId="13_ncr:1_{DAB2AB06-B8D2-40FD-8B8C-1561498F46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 Sales Dashboard" sheetId="2" r:id="rId1"/>
    <sheet name="Regional Performance Dashboard" sheetId="1" r:id="rId2"/>
  </sheets>
  <definedNames>
    <definedName name="_xlchart.v1.0" hidden="1">'Monthly Sales Dashboard'!$A$29:$A$42</definedName>
    <definedName name="_xlchart.v1.1" hidden="1">'Monthly Sales Dashboard'!$B$28</definedName>
    <definedName name="_xlchart.v1.2" hidden="1">'Monthly Sales Dashboard'!$B$29:$B$42</definedName>
    <definedName name="_xlchart.v1.3" hidden="1">'Regional Performance Dashboard'!$B$2:$B$16</definedName>
    <definedName name="_xlchart.v1.4" hidden="1">'Regional Performance Dashboard'!$C$1</definedName>
    <definedName name="_xlchart.v1.5" hidden="1">'Regional Performance Dashboard'!$C$2:$C$16</definedName>
    <definedName name="_xlchart.v5.10" hidden="1">'Regional Performance Dashboard'!$B$1</definedName>
    <definedName name="_xlchart.v5.11" hidden="1">'Regional Performance Dashboard'!$B$2:$B$16</definedName>
    <definedName name="_xlchart.v5.12" hidden="1">'Regional Performance Dashboard'!$C$1</definedName>
    <definedName name="_xlchart.v5.13" hidden="1">'Regional Performance Dashboard'!$C$2:$C$16</definedName>
    <definedName name="_xlchart.v5.6" hidden="1">'Regional Performance Dashboard'!$B$1</definedName>
    <definedName name="_xlchart.v5.7" hidden="1">'Regional Performance Dashboard'!$B$2:$B$16</definedName>
    <definedName name="_xlchart.v5.8" hidden="1">'Regional Performance Dashboard'!$C$1</definedName>
    <definedName name="_xlchart.v5.9" hidden="1">'Regional Performance Dashboard'!$C$2:$C$16</definedName>
    <definedName name="ExternalData_1" localSheetId="0" hidden="1">'Monthly Sales Dashboard'!#REF!</definedName>
    <definedName name="ExternalData_1" localSheetId="1" hidden="1">'Regional Performance Dashboard'!#REF!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2" l="1"/>
  <c r="B19" i="2"/>
  <c r="C21" i="2"/>
  <c r="B21" i="2"/>
  <c r="C20" i="2"/>
  <c r="B20" i="2"/>
  <c r="C15" i="2"/>
  <c r="B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D15" i="2" l="1"/>
  <c r="E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D22BE-40AF-4C04-BDD7-40493217183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60F1AD1-DF36-4223-9DE2-F30E4015E1E0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3" xr16:uid="{911BB1D9-5EB6-4788-B61B-AC1E0CFCCB0B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</connections>
</file>

<file path=xl/sharedStrings.xml><?xml version="1.0" encoding="utf-8"?>
<sst xmlns="http://schemas.openxmlformats.org/spreadsheetml/2006/main" count="71" uniqueCount="59">
  <si>
    <t>Year</t>
  </si>
  <si>
    <t>Month</t>
  </si>
  <si>
    <t>Region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</si>
  <si>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</si>
  <si>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</si>
  <si>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</si>
  <si>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</si>
  <si>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</si>
  <si>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</si>
  <si>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</si>
  <si>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</si>
  <si>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</si>
  <si>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</si>
  <si>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</si>
  <si>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</si>
  <si>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</si>
  <si>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</si>
  <si>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</si>
  <si>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</si>
  <si>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</si>
  <si>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</si>
  <si>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</si>
  <si>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</si>
  <si>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</si>
  <si>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</si>
  <si>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</si>
  <si>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</si>
  <si>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</si>
  <si>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</si>
  <si>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</si>
  <si>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</si>
  <si>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KPI</t>
  </si>
  <si>
    <t>Difference (2021 - 2020)</t>
  </si>
  <si>
    <t>Minimum</t>
  </si>
  <si>
    <t>Maximum</t>
  </si>
  <si>
    <t>Growth</t>
  </si>
  <si>
    <t>Average</t>
  </si>
  <si>
    <t>Total</t>
  </si>
  <si>
    <t>Category</t>
  </si>
  <si>
    <t>Value</t>
  </si>
  <si>
    <t>Total 2020</t>
  </si>
  <si>
    <t>Total 2021</t>
  </si>
  <si>
    <t>Province</t>
  </si>
  <si>
    <t>Tehran</t>
  </si>
  <si>
    <t>Isfahan</t>
  </si>
  <si>
    <t>Khuzestan</t>
  </si>
  <si>
    <t>Mazandaran</t>
  </si>
  <si>
    <t>Gilan</t>
  </si>
  <si>
    <t>Kerman</t>
  </si>
  <si>
    <t>Qom</t>
  </si>
  <si>
    <t>Yazd</t>
  </si>
  <si>
    <t>Hormozgan</t>
  </si>
  <si>
    <t>Kermanshah</t>
  </si>
  <si>
    <t>Mashhad</t>
  </si>
  <si>
    <t>Tabriz</t>
  </si>
  <si>
    <t>Ardebil</t>
  </si>
  <si>
    <t>Ahvaz</t>
  </si>
  <si>
    <t>Urmia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</si>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</sst>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&quot;$&quot;#,##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2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164" fontId="2" fillId="0" borderId="2" xfId="2" applyNumberFormat="1" applyFont="1" applyBorder="1"/>
    <xf numFmtId="164" fontId="2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2" applyNumberFormat="1" applyFont="1" applyBorder="1" applyAlignment="1">
      <alignment horizontal="center" vertical="center"/>
    </xf>
    <xf numFmtId="5" fontId="2" fillId="0" borderId="4" xfId="0" applyNumberFormat="1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9" fontId="2" fillId="0" borderId="16" xfId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20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2E7D32"/>
      <color rgb="FF00B050"/>
      <color rgb="FFFF0000"/>
      <color rgb="FFFFC000"/>
      <color rgb="FFF8F9FA"/>
      <color rgb="FFF5F5F5"/>
      <color rgb="FFD9D9D9"/>
      <color rgb="FFA6A6A6"/>
      <color rgb="FF00B0F0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baseline="0">
                <a:solidFill>
                  <a:schemeClr val="tx1">
                    <a:alpha val="8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>
                    <a:alpha val="81000"/>
                  </a:schemeClr>
                </a:solidFill>
              </a:rPr>
              <a:t>A Shift in Monthly Sales Pattern Between 2020 and 2021</a:t>
            </a:r>
            <a:endParaRPr lang="fa-IR" sz="1600" b="1" i="0" u="none" strike="noStrike" baseline="0">
              <a:solidFill>
                <a:schemeClr val="tx1">
                  <a:alpha val="81000"/>
                </a:schemeClr>
              </a:solidFill>
            </a:endParaRPr>
          </a:p>
          <a:p>
            <a:pPr algn="l">
              <a:defRPr>
                <a:solidFill>
                  <a:schemeClr val="tx1">
                    <a:alpha val="81000"/>
                  </a:schemeClr>
                </a:solidFill>
              </a:defRPr>
            </a:pPr>
            <a:r>
              <a:rPr lang="en-US" sz="1100">
                <a:solidFill>
                  <a:schemeClr val="tx1">
                    <a:alpha val="81000"/>
                  </a:schemeClr>
                </a:solidFill>
              </a:rPr>
              <a:t>2021 started stronger, but 2020 finished the year ahead.</a:t>
            </a:r>
            <a:endParaRPr lang="en-US" sz="1400">
              <a:solidFill>
                <a:schemeClr val="tx1">
                  <a:alpha val="81000"/>
                </a:schemeClr>
              </a:solidFill>
            </a:endParaRPr>
          </a:p>
        </c:rich>
      </c:tx>
      <c:layout>
        <c:manualLayout>
          <c:xMode val="edge"/>
          <c:yMode val="edge"/>
          <c:x val="2.9446739325651519E-2"/>
          <c:y val="1.23334307059306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baseline="0">
              <a:solidFill>
                <a:schemeClr val="tx1">
                  <a:alpha val="81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Dashboard'!$B$1:$B$2</c:f>
              <c:strCache>
                <c:ptCount val="2"/>
                <c:pt idx="0">
                  <c:v>Year</c:v>
                </c:pt>
                <c:pt idx="1">
                  <c:v>2020</c:v>
                </c:pt>
              </c:strCache>
            </c:strRef>
          </c:tx>
          <c:spPr>
            <a:ln w="2540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5400" cap="rnd">
                <a:solidFill>
                  <a:srgbClr val="A6A6A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1F-4018-AB79-B25095ECF69D}"/>
              </c:ext>
            </c:extLst>
          </c:dPt>
          <c:dLbls>
            <c:dLbl>
              <c:idx val="0"/>
              <c:layout>
                <c:manualLayout>
                  <c:x val="-4.3411835652238842E-2"/>
                  <c:y val="5.8105230659603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1F-4018-AB79-B25095ECF6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1F-4018-AB79-B25095ECF6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1F-4018-AB79-B25095ECF6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1F-4018-AB79-B25095ECF69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1F-4018-AB79-B25095ECF6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1F-4018-AB79-B25095ECF69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1F-4018-AB79-B25095ECF6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1F-4018-AB79-B25095ECF6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1F-4018-AB79-B25095ECF6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1F-4018-AB79-B25095ECF69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1F-4018-AB79-B25095ECF69D}"/>
                </c:ext>
              </c:extLst>
            </c:dLbl>
            <c:dLbl>
              <c:idx val="11"/>
              <c:layout>
                <c:manualLayout>
                  <c:x val="-3.4225501224111839E-2"/>
                  <c:y val="-5.6696878068790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1F-4018-AB79-B25095ECF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 Dashboard'!$A$3:$A$14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Dashboard'!$B$3:$B$14</c:f>
              <c:numCache>
                <c:formatCode>"$"#,##0</c:formatCode>
                <c:ptCount val="12"/>
                <c:pt idx="0">
                  <c:v>38000</c:v>
                </c:pt>
                <c:pt idx="1">
                  <c:v>47000</c:v>
                </c:pt>
                <c:pt idx="2">
                  <c:v>49000</c:v>
                </c:pt>
                <c:pt idx="3">
                  <c:v>42000</c:v>
                </c:pt>
                <c:pt idx="4">
                  <c:v>42000</c:v>
                </c:pt>
                <c:pt idx="5">
                  <c:v>38000</c:v>
                </c:pt>
                <c:pt idx="6">
                  <c:v>43000</c:v>
                </c:pt>
                <c:pt idx="7">
                  <c:v>52000</c:v>
                </c:pt>
                <c:pt idx="8">
                  <c:v>49000</c:v>
                </c:pt>
                <c:pt idx="9">
                  <c:v>67000</c:v>
                </c:pt>
                <c:pt idx="10">
                  <c:v>74000</c:v>
                </c:pt>
                <c:pt idx="11">
                  <c:v>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F-4018-AB79-B25095ECF69D}"/>
            </c:ext>
          </c:extLst>
        </c:ser>
        <c:ser>
          <c:idx val="1"/>
          <c:order val="1"/>
          <c:tx>
            <c:strRef>
              <c:f>'Monthly Sales Dashboard'!$C$1:$C$2</c:f>
              <c:strCache>
                <c:ptCount val="2"/>
                <c:pt idx="0">
                  <c:v>Year</c:v>
                </c:pt>
                <c:pt idx="1">
                  <c:v>2021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0800" dist="25400" dir="19920000" sx="104000" sy="104000" algn="ctr" rotWithShape="0">
                <a:schemeClr val="accent2">
                  <a:lumMod val="60000"/>
                  <a:lumOff val="40000"/>
                  <a:alpha val="43000"/>
                </a:schemeClr>
              </a:outerShdw>
            </a:effectLst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>
                <a:outerShdw blurRad="50800" dist="25400" dir="19920000" sx="104000" sy="104000" algn="ctr" rotWithShape="0">
                  <a:schemeClr val="accent2">
                    <a:lumMod val="60000"/>
                    <a:lumOff val="40000"/>
                    <a:alpha val="4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B1F-4018-AB79-B25095ECF69D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0800" dist="25400" dir="19920000" sx="104000" sy="104000" algn="ctr" rotWithShape="0">
                  <a:schemeClr val="accent2">
                    <a:lumMod val="60000"/>
                    <a:lumOff val="40000"/>
                    <a:alpha val="4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B1F-4018-AB79-B25095ECF69D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75000"/>
                  </a:schemeClr>
                </a:solidFill>
                <a:round/>
              </a:ln>
              <a:effectLst>
                <a:outerShdw blurRad="50800" dir="19920000" sx="104000" sy="104000" algn="ctr" rotWithShape="0">
                  <a:schemeClr val="accent2">
                    <a:lumMod val="60000"/>
                    <a:lumOff val="40000"/>
                    <a:alpha val="4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CB1F-4018-AB79-B25095ECF69D}"/>
              </c:ext>
            </c:extLst>
          </c:dPt>
          <c:dLbls>
            <c:dLbl>
              <c:idx val="0"/>
              <c:layout>
                <c:manualLayout>
                  <c:x val="-4.8348846082362819E-2"/>
                  <c:y val="7.424425157119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B1F-4018-AB79-B25095ECF6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B1F-4018-AB79-B25095ECF6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B1F-4018-AB79-B25095ECF6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1F-4018-AB79-B25095ECF69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B1F-4018-AB79-B25095ECF6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B1F-4018-AB79-B25095ECF69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B1F-4018-AB79-B25095ECF6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B1F-4018-AB79-B25095ECF6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B1F-4018-AB79-B25095ECF6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1F-4018-AB79-B25095ECF69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1F-4018-AB79-B25095ECF69D}"/>
                </c:ext>
              </c:extLst>
            </c:dLbl>
            <c:dLbl>
              <c:idx val="11"/>
              <c:layout>
                <c:manualLayout>
                  <c:x val="-3.199421500883818E-2"/>
                  <c:y val="-5.6696878068790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B1F-4018-AB79-B25095ECF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'Monthly Sales Dashboard'!$A$3:$A$14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Dashboard'!$C$3:$C$14</c:f>
              <c:numCache>
                <c:formatCode>"$"#,##0</c:formatCode>
                <c:ptCount val="12"/>
                <c:pt idx="0">
                  <c:v>99000</c:v>
                </c:pt>
                <c:pt idx="1">
                  <c:v>78000</c:v>
                </c:pt>
                <c:pt idx="2">
                  <c:v>90000</c:v>
                </c:pt>
                <c:pt idx="3">
                  <c:v>77000</c:v>
                </c:pt>
                <c:pt idx="4">
                  <c:v>78000</c:v>
                </c:pt>
                <c:pt idx="5">
                  <c:v>71000</c:v>
                </c:pt>
                <c:pt idx="6">
                  <c:v>78000</c:v>
                </c:pt>
                <c:pt idx="7">
                  <c:v>62000</c:v>
                </c:pt>
                <c:pt idx="8">
                  <c:v>68000</c:v>
                </c:pt>
                <c:pt idx="9">
                  <c:v>50000</c:v>
                </c:pt>
                <c:pt idx="10">
                  <c:v>43000</c:v>
                </c:pt>
                <c:pt idx="11">
                  <c:v>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F-4018-AB79-B25095ECF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029272"/>
        <c:axId val="527029632"/>
      </c:lineChart>
      <c:catAx>
        <c:axId val="527029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29632"/>
        <c:crosses val="autoZero"/>
        <c:auto val="1"/>
        <c:lblAlgn val="ctr"/>
        <c:lblOffset val="100"/>
        <c:noMultiLvlLbl val="0"/>
      </c:catAx>
      <c:valAx>
        <c:axId val="527029632"/>
        <c:scaling>
          <c:orientation val="minMax"/>
          <c:max val="100000"/>
          <c:min val="0"/>
        </c:scaling>
        <c:delete val="0"/>
        <c:axPos val="l"/>
        <c:majorGridlines>
          <c:spPr>
            <a:ln w="3175" cap="flat" cmpd="sng" algn="ctr">
              <a:gradFill flip="none" rotWithShape="1">
                <a:gsLst>
                  <a:gs pos="0">
                    <a:schemeClr val="bg1">
                      <a:lumMod val="6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>
                      <a:alpha val="19000"/>
                      <a:lumMod val="65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round/>
            </a:ln>
            <a:effectLst>
              <a:outerShdw blurRad="50800" dist="50800" dir="5400000" sx="112000" sy="112000" algn="ctr" rotWithShape="0">
                <a:schemeClr val="bg1"/>
              </a:outerShdw>
            </a:effectLst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65000"/>
              </a:schemeClr>
            </a:solidFill>
          </a:ln>
          <a:effectLst>
            <a:outerShdw blurRad="520700" dist="50800" dir="6600000" algn="ctr" rotWithShape="0">
              <a:schemeClr val="bg2">
                <a:lumMod val="50000"/>
                <a:alpha val="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2927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ln cap="rnd">
                  <a:noFill/>
                  <a:round/>
                </a:ln>
                <a:solidFill>
                  <a:schemeClr val="tx1">
                    <a:alpha val="74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none">
                <a:solidFill>
                  <a:schemeClr val="tx1">
                    <a:alpha val="74000"/>
                  </a:schemeClr>
                </a:solidFill>
              </a:rPr>
              <a:t>From Growth to Decline: Monthly Sales Difference</a:t>
            </a:r>
          </a:p>
        </c:rich>
      </c:tx>
      <c:layout>
        <c:manualLayout>
          <c:xMode val="edge"/>
          <c:yMode val="edge"/>
          <c:x val="1.922398589065256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ln cap="rnd">
                <a:noFill/>
                <a:round/>
              </a:ln>
              <a:solidFill>
                <a:schemeClr val="tx1">
                  <a:alpha val="74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Dashboard'!$D$1</c:f>
              <c:strCache>
                <c:ptCount val="1"/>
                <c:pt idx="0">
                  <c:v>Difference (2021 - 2020)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127000" dist="50800" dir="5400000" algn="ctr" rotWithShape="0">
                <a:srgbClr val="000000">
                  <a:alpha val="43137"/>
                </a:srgbClr>
              </a:outerShdw>
            </a:effectLst>
          </c:spPr>
          <c:invertIfNegative val="1"/>
          <c:dPt>
            <c:idx val="1"/>
            <c:invertIfNegative val="1"/>
            <c:bubble3D val="0"/>
            <c:spPr>
              <a:solidFill>
                <a:srgbClr val="2E7D32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AF9-4B2B-BC18-48699BD935F4}"/>
              </c:ext>
            </c:extLst>
          </c:dPt>
          <c:dPt>
            <c:idx val="2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AF9-4B2B-BC18-48699BD935F4}"/>
              </c:ext>
            </c:extLst>
          </c:dPt>
          <c:dPt>
            <c:idx val="3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F9-4B2B-BC18-48699BD935F4}"/>
              </c:ext>
            </c:extLst>
          </c:dPt>
          <c:dPt>
            <c:idx val="4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AF9-4B2B-BC18-48699BD935F4}"/>
              </c:ext>
            </c:extLst>
          </c:dPt>
          <c:dPt>
            <c:idx val="5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F9-4B2B-BC18-48699BD935F4}"/>
              </c:ext>
            </c:extLst>
          </c:dPt>
          <c:dPt>
            <c:idx val="6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AF9-4B2B-BC18-48699BD935F4}"/>
              </c:ext>
            </c:extLst>
          </c:dPt>
          <c:dPt>
            <c:idx val="7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F9-4B2B-BC18-48699BD935F4}"/>
              </c:ext>
            </c:extLst>
          </c:dPt>
          <c:dPt>
            <c:idx val="8"/>
            <c:invertIfNegative val="1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AF9-4B2B-BC18-48699BD935F4}"/>
              </c:ext>
            </c:extLst>
          </c:dPt>
          <c:dPt>
            <c:idx val="9"/>
            <c:invertIfNegative val="1"/>
            <c:bubble3D val="0"/>
            <c:spPr>
              <a:solidFill>
                <a:srgbClr val="7F7F7F"/>
              </a:solid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F9-4B2B-BC18-48699BD935F4}"/>
              </c:ext>
            </c:extLst>
          </c:dPt>
          <c:dPt>
            <c:idx val="10"/>
            <c:invertIfNegative val="1"/>
            <c:bubble3D val="0"/>
            <c:spPr>
              <a:pattFill prst="pct5">
                <a:fgClr>
                  <a:srgbClr val="C00000"/>
                </a:fgClr>
                <a:bgClr>
                  <a:srgbClr val="FF0000"/>
                </a:bgClr>
              </a:pattFill>
              <a:ln>
                <a:noFill/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AF9-4B2B-BC18-48699BD935F4}"/>
              </c:ext>
            </c:extLst>
          </c:dPt>
          <c:dPt>
            <c:idx val="11"/>
            <c:invertIfNegative val="1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>
                <a:outerShdw blurRad="127000"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F9-4B2B-BC18-48699BD935F4}"/>
              </c:ext>
            </c:extLst>
          </c:dPt>
          <c:dPt>
            <c:idx val="12"/>
            <c:invertIfNegative val="1"/>
            <c:bubble3D val="0"/>
            <c:spPr>
              <a:solidFill>
                <a:srgbClr val="FF0000">
                  <a:alpha val="63922"/>
                </a:srgbClr>
              </a:solidFill>
              <a:ln>
                <a:solidFill>
                  <a:srgbClr val="FF0000">
                    <a:alpha val="99000"/>
                  </a:srgb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AF9-4B2B-BC18-48699BD935F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F9-4B2B-BC18-48699BD935F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F9-4B2B-BC18-48699BD935F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F9-4B2B-BC18-48699BD935F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F9-4B2B-BC18-48699BD935F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F9-4B2B-BC18-48699BD935F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F9-4B2B-BC18-48699BD935F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F9-4B2B-BC18-48699BD935F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F9-4B2B-BC18-48699BD935F4}"/>
                </c:ext>
              </c:extLst>
            </c:dLbl>
            <c:dLbl>
              <c:idx val="1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F9-4B2B-BC18-48699BD935F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F9-4B2B-BC18-48699BD93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 cap="rnd">
                      <a:noFill/>
                      <a:round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Dashboard'!$A$2:$A$14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'Monthly Sales Dashboard'!$D$2:$D$14</c:f>
              <c:numCache>
                <c:formatCode>"$"#,##0</c:formatCode>
                <c:ptCount val="13"/>
                <c:pt idx="1">
                  <c:v>61000</c:v>
                </c:pt>
                <c:pt idx="2">
                  <c:v>31000</c:v>
                </c:pt>
                <c:pt idx="3">
                  <c:v>41000</c:v>
                </c:pt>
                <c:pt idx="4">
                  <c:v>35000</c:v>
                </c:pt>
                <c:pt idx="5">
                  <c:v>36000</c:v>
                </c:pt>
                <c:pt idx="6">
                  <c:v>33000</c:v>
                </c:pt>
                <c:pt idx="7">
                  <c:v>35000</c:v>
                </c:pt>
                <c:pt idx="8">
                  <c:v>10000</c:v>
                </c:pt>
                <c:pt idx="9">
                  <c:v>19000</c:v>
                </c:pt>
                <c:pt idx="10">
                  <c:v>-17000</c:v>
                </c:pt>
                <c:pt idx="11">
                  <c:v>-31000</c:v>
                </c:pt>
                <c:pt idx="12">
                  <c:v>-45000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>
                    <a:outerShdw blurRad="127000" dist="50800" dir="5400000" algn="ctr" rotWithShape="0">
                      <a:srgbClr val="000000">
                        <a:alpha val="43137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BAF9-4B2B-BC18-48699BD9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25345104"/>
        <c:axId val="525343664"/>
      </c:barChart>
      <c:dateAx>
        <c:axId val="52534510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25343664"/>
        <c:crosses val="autoZero"/>
        <c:auto val="0"/>
        <c:lblOffset val="100"/>
        <c:baseTimeUnit val="days"/>
        <c:minorUnit val="1"/>
      </c:dateAx>
      <c:valAx>
        <c:axId val="5253436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  <a:alpha val="7000"/>
                </a:schemeClr>
              </a:solidFill>
              <a:round/>
            </a:ln>
            <a:effectLst>
              <a:glow>
                <a:schemeClr val="accent1"/>
              </a:glow>
              <a:outerShdw blurRad="63500" dir="5400000" algn="ctr" rotWithShape="0">
                <a:schemeClr val="bg1">
                  <a:lumMod val="65000"/>
                  <a:alpha val="43000"/>
                </a:schemeClr>
              </a:outerShdw>
              <a:softEdge rad="0"/>
            </a:effectLst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cap="rnd">
                  <a:noFill/>
                  <a:round/>
                </a:ln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4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sng" strike="noStrike" kern="1200" baseline="0">
                <a:ln cap="rnd">
                  <a:noFill/>
                  <a:round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1050" b="1" i="0" u="sng" strike="noStrike" kern="1200" baseline="0">
                <a:ln cap="rnd">
                  <a:noFill/>
                  <a:round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solidFill>
            <a:schemeClr val="bg1">
              <a:lumMod val="65000"/>
              <a:alpha val="97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cap="rnd">
                <a:noFill/>
                <a:round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n cap="rnd">
            <a:noFill/>
            <a:round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Sales Performance Indicators (2020 vs. 2021)</a:t>
            </a:r>
          </a:p>
        </c:rich>
      </c:tx>
      <c:layout>
        <c:manualLayout>
          <c:xMode val="edge"/>
          <c:yMode val="edge"/>
          <c:x val="1.4395136016219934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'Monthly Sales Dashboard'!$C$18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Dashboard'!$A$19:$A$21</c:f>
              <c:strCache>
                <c:ptCount val="3"/>
                <c:pt idx="0">
                  <c:v>Maximum</c:v>
                </c:pt>
                <c:pt idx="1">
                  <c:v>Average</c:v>
                </c:pt>
                <c:pt idx="2">
                  <c:v>Minimum</c:v>
                </c:pt>
              </c:strCache>
            </c:strRef>
          </c:cat>
          <c:val>
            <c:numRef>
              <c:f>'Monthly Sales Dashboard'!$C$19:$C$21</c:f>
              <c:numCache>
                <c:formatCode>"$"#,##0_);\("$"#,##0\)</c:formatCode>
                <c:ptCount val="3"/>
                <c:pt idx="0">
                  <c:v>99000</c:v>
                </c:pt>
                <c:pt idx="1">
                  <c:v>66909.090909090912</c:v>
                </c:pt>
                <c:pt idx="2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5C4-BF1C-5EF0D45FD780}"/>
            </c:ext>
          </c:extLst>
        </c:ser>
        <c:ser>
          <c:idx val="0"/>
          <c:order val="1"/>
          <c:tx>
            <c:strRef>
              <c:f>'Monthly Sales Dashboard'!$B$18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Dashboard'!$A$19:$A$21</c:f>
              <c:strCache>
                <c:ptCount val="3"/>
                <c:pt idx="0">
                  <c:v>Maximum</c:v>
                </c:pt>
                <c:pt idx="1">
                  <c:v>Average</c:v>
                </c:pt>
                <c:pt idx="2">
                  <c:v>Minimum</c:v>
                </c:pt>
              </c:strCache>
            </c:strRef>
          </c:cat>
          <c:val>
            <c:numRef>
              <c:f>'Monthly Sales Dashboard'!$B$19:$B$21</c:f>
              <c:numCache>
                <c:formatCode>"$"#,##0_);\("$"#,##0\)</c:formatCode>
                <c:ptCount val="3"/>
                <c:pt idx="0">
                  <c:v>86000</c:v>
                </c:pt>
                <c:pt idx="1">
                  <c:v>52250</c:v>
                </c:pt>
                <c:pt idx="2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5C4-BF1C-5EF0D45FD7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706397072"/>
        <c:axId val="706397432"/>
      </c:barChart>
      <c:catAx>
        <c:axId val="70639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97432"/>
        <c:crosses val="autoZero"/>
        <c:auto val="1"/>
        <c:lblAlgn val="ctr"/>
        <c:lblOffset val="100"/>
        <c:noMultiLvlLbl val="0"/>
      </c:catAx>
      <c:valAx>
        <c:axId val="706397432"/>
        <c:scaling>
          <c:orientation val="minMax"/>
          <c:max val="10000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65000"/>
                  <a:lumOff val="35000"/>
                  <a:alpha val="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9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 Performance Dashboard'!$C$1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BA0-4606-B7FE-00594632C4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BA0-4606-B7FE-00594632C4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CBA0-4606-B7FE-00594632C4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BA0-4606-B7FE-00594632C49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CBA0-4606-B7FE-00594632C49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BA0-4606-B7FE-00594632C49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CBA0-4606-B7FE-00594632C49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BA0-4606-B7FE-00594632C49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CBA0-4606-B7FE-00594632C49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BA0-4606-B7FE-00594632C49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CBA0-4606-B7FE-00594632C49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BA0-4606-B7FE-00594632C49B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CBA0-4606-B7FE-00594632C4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BA0-4606-B7FE-00594632C49B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BA0-4606-B7FE-00594632C49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A0-4606-B7FE-00594632C49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A0-4606-B7FE-00594632C49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A0-4606-B7FE-00594632C49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A0-4606-B7FE-00594632C49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A0-4606-B7FE-00594632C49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A0-4606-B7FE-00594632C4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A0-4606-B7FE-00594632C49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A0-4606-B7FE-00594632C49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A0-4606-B7FE-00594632C49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A0-4606-B7FE-00594632C49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A0-4606-B7FE-00594632C49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A0-4606-B7FE-00594632C49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A0-4606-B7FE-00594632C49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A0-4606-B7FE-00594632C49B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BA0-4606-B7FE-00594632C4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Performance Dashboard'!$B$2:$B$16</c:f>
              <c:strCache>
                <c:ptCount val="15"/>
                <c:pt idx="0">
                  <c:v>Mazandaran</c:v>
                </c:pt>
                <c:pt idx="1">
                  <c:v>Ardebil</c:v>
                </c:pt>
                <c:pt idx="2">
                  <c:v>Gilan</c:v>
                </c:pt>
                <c:pt idx="3">
                  <c:v>Hormozgan</c:v>
                </c:pt>
                <c:pt idx="4">
                  <c:v>Isfahan</c:v>
                </c:pt>
                <c:pt idx="5">
                  <c:v>Urmia</c:v>
                </c:pt>
                <c:pt idx="6">
                  <c:v>Ahvaz</c:v>
                </c:pt>
                <c:pt idx="7">
                  <c:v>Tehran</c:v>
                </c:pt>
                <c:pt idx="8">
                  <c:v>Mashhad</c:v>
                </c:pt>
                <c:pt idx="9">
                  <c:v>Qom</c:v>
                </c:pt>
                <c:pt idx="10">
                  <c:v>Tabriz</c:v>
                </c:pt>
                <c:pt idx="11">
                  <c:v>Yazd</c:v>
                </c:pt>
                <c:pt idx="12">
                  <c:v>Khuzestan</c:v>
                </c:pt>
                <c:pt idx="13">
                  <c:v>Kerman</c:v>
                </c:pt>
                <c:pt idx="14">
                  <c:v>Kermanshah</c:v>
                </c:pt>
              </c:strCache>
            </c:strRef>
          </c:cat>
          <c:val>
            <c:numRef>
              <c:f>'Regional Performance Dashboard'!$C$2:$C$16</c:f>
              <c:numCache>
                <c:formatCode>0%</c:formatCode>
                <c:ptCount val="15"/>
                <c:pt idx="0">
                  <c:v>0.2</c:v>
                </c:pt>
                <c:pt idx="1">
                  <c:v>0.16</c:v>
                </c:pt>
                <c:pt idx="2">
                  <c:v>0.15</c:v>
                </c:pt>
                <c:pt idx="3">
                  <c:v>0.15</c:v>
                </c:pt>
                <c:pt idx="4">
                  <c:v>0.13</c:v>
                </c:pt>
                <c:pt idx="5">
                  <c:v>0.13</c:v>
                </c:pt>
                <c:pt idx="6">
                  <c:v>0.11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0.09</c:v>
                </c:pt>
                <c:pt idx="11">
                  <c:v>0.09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CBA0-4606-B7FE-00594632C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74964064"/>
        <c:axId val="774964424"/>
        <c:axId val="0"/>
      </c:bar3DChart>
      <c:catAx>
        <c:axId val="774964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>
                      <a:lumMod val="65000"/>
                    </a:schemeClr>
                  </a:solidFill>
                </a:ln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64424"/>
        <c:crosses val="autoZero"/>
        <c:auto val="1"/>
        <c:lblAlgn val="ctr"/>
        <c:lblOffset val="100"/>
        <c:noMultiLvlLbl val="0"/>
      </c:catAx>
      <c:valAx>
        <c:axId val="774964424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77496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US" sz="1200" b="1" u="sng"/>
              <a:t>Monthly Contributions to Total Sales Growth (</a:t>
            </a:r>
            <a:r>
              <a:rPr lang="en-US" sz="1200" b="1" u="sng">
                <a:solidFill>
                  <a:srgbClr val="A6A6A6"/>
                </a:solidFill>
              </a:rPr>
              <a:t>2020</a:t>
            </a:r>
            <a:r>
              <a:rPr lang="en-US" sz="1200" b="1" u="sng"/>
              <a:t> → </a:t>
            </a:r>
            <a:r>
              <a:rPr lang="en-US" sz="1200" b="1" u="sng">
                <a:solidFill>
                  <a:srgbClr val="00B0F0"/>
                </a:solidFill>
              </a:rPr>
              <a:t>2021</a:t>
            </a:r>
            <a:r>
              <a:rPr lang="en-US" sz="1200" b="1" u="sng"/>
              <a:t>)</a:t>
            </a:r>
            <a:endParaRPr lang="en-US" sz="1200" u="sng"/>
          </a:p>
        </cx:rich>
      </cx:tx>
    </cx:title>
    <cx:plotArea>
      <cx:plotAreaRegion>
        <cx:series layoutId="waterfall" uniqueId="{11FF1AC5-F11D-4309-91F9-0A70097EB104}">
          <cx:tx>
            <cx:txData>
              <cx:f>_xlchart.v1.1</cx:f>
              <cx:v>Value</cx:v>
            </cx:txData>
          </cx:tx>
          <cx:dataPt idx="0">
            <cx:spPr>
              <a:solidFill>
                <a:srgbClr val="A6A6A6"/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00B050"/>
              </a:solidFill>
            </cx:spPr>
          </cx:dataPt>
          <cx:dataPt idx="4">
            <cx:spPr>
              <a:solidFill>
                <a:srgbClr val="00B050"/>
              </a:solidFill>
            </cx:spPr>
          </cx:dataPt>
          <cx:dataPt idx="5">
            <cx:spPr>
              <a:solidFill>
                <a:srgbClr val="00B050"/>
              </a:solidFill>
            </cx:spPr>
          </cx:dataPt>
          <cx:dataPt idx="6">
            <cx:spPr>
              <a:solidFill>
                <a:srgbClr val="00B050"/>
              </a:solidFill>
            </cx:spPr>
          </cx:dataPt>
          <cx:dataPt idx="7">
            <cx:spPr>
              <a:solidFill>
                <a:srgbClr val="00B050"/>
              </a:solidFill>
            </cx:spPr>
          </cx:dataPt>
          <cx:dataPt idx="8">
            <cx:spPr>
              <a:solidFill>
                <a:srgbClr val="00B050"/>
              </a:solidFill>
            </cx:spPr>
          </cx:dataPt>
          <cx:dataPt idx="9">
            <cx:spPr>
              <a:solidFill>
                <a:srgbClr val="00B050"/>
              </a:solidFill>
            </cx:spPr>
          </cx:dataPt>
          <cx:dataPt idx="10">
            <cx:spPr>
              <a:solidFill>
                <a:srgbClr val="FF0000"/>
              </a:solidFill>
            </cx:spPr>
          </cx:dataPt>
          <cx:dataPt idx="11">
            <cx:spPr>
              <a:solidFill>
                <a:srgbClr val="FF0000"/>
              </a:solidFill>
            </cx:spPr>
          </cx:dataPt>
          <cx:dataPt idx="12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00B0F0"/>
              </a:solidFill>
            </cx:spPr>
          </cx:dataPt>
          <cx:dataId val="0"/>
          <cx:layoutPr>
            <cx:subtotals>
              <cx:idx val="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950000"/>
        <cx:majorGridlines>
          <cx:spPr>
            <a:ln w="3175">
              <a:solidFill>
                <a:schemeClr val="tx1">
                  <a:alpha val="3000"/>
                </a:schemeClr>
              </a:solidFill>
            </a:ln>
          </cx:spPr>
        </cx:majorGridlines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clusteredColumn" uniqueId="{1366C7D8-5144-4A4A-83E7-A69B4ED6C729}">
          <cx:tx>
            <cx:txData>
              <cx:f>_xlchart.v1.4</cx:f>
              <cx:v>Sales</cx:v>
            </cx:txData>
          </cx:tx>
          <cx:dataPt idx="0">
            <cx:spPr>
              <a:solidFill>
                <a:srgbClr val="00B050"/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00B050"/>
              </a:solidFill>
            </cx:spPr>
          </cx:dataPt>
          <cx:dataPt idx="4">
            <cx:spPr>
              <a:solidFill>
                <a:srgbClr val="00B050"/>
              </a:solidFill>
            </cx:spPr>
          </cx:dataPt>
          <cx:dataPt idx="5">
            <cx:spPr>
              <a:solidFill>
                <a:srgbClr val="00B050"/>
              </a:solidFill>
            </cx:spPr>
          </cx:dataPt>
          <cx:dataPt idx="6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7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8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9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0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1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2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3">
            <cx:spPr>
              <a:solidFill>
                <a:sysClr val="window" lastClr="FFFFFF">
                  <a:lumMod val="65000"/>
                </a:sysClr>
              </a:solidFill>
            </cx:spPr>
          </cx:dataPt>
          <cx:dataPt idx="14">
            <cx:spPr>
              <a:solidFill>
                <a:sysClr val="window" lastClr="FFFFFF">
                  <a:lumMod val="65000"/>
                </a:sys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solidFill>
                      <a:srgbClr val="FFFF00"/>
                    </a:solidFill>
                  </a:defRPr>
                </a:pPr>
                <a:endParaRPr lang="en-US" sz="1000" b="0" i="0" u="none" strike="noStrike" baseline="0">
                  <a:solidFill>
                    <a:srgbClr val="FFFF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6">
              <cx:spPr>
                <a:ln w="0">
                  <a:solidFill>
                    <a:srgbClr val="FFC000">
                      <a:alpha val="94000"/>
                    </a:srgbClr>
                  </a:solidFill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11%</a:t>
                  </a:r>
                </a:p>
              </cx:txPr>
            </cx:dataLabel>
            <cx:dataLabel idx="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10%</a:t>
                  </a:r>
                </a:p>
              </cx:txPr>
            </cx:dataLabel>
            <cx:dataLabel idx="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10%</a:t>
                  </a:r>
                </a:p>
              </cx:txPr>
            </cx:dataLabel>
            <cx:dataLabel idx="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10%</a:t>
                  </a:r>
                </a:p>
              </cx:txPr>
            </cx:dataLabel>
            <cx:dataLabel idx="1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9%</a:t>
                  </a:r>
                </a:p>
              </cx:txPr>
            </cx:dataLabel>
            <cx:dataLabel idx="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9%</a:t>
                  </a:r>
                </a:p>
              </cx:txPr>
            </cx:dataLabel>
            <cx:dataLabel idx="1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8%</a:t>
                  </a:r>
                </a:p>
              </cx:txPr>
            </cx:dataLabel>
            <cx:dataLabel idx="1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8%</a:t>
                  </a:r>
                </a:p>
              </cx:txPr>
            </cx:dataLabel>
            <cx:dataLabel idx="1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>
                          <a:lumMod val="6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>
                          <a:lumMod val="65000"/>
                        </a:schemeClr>
                      </a:solidFill>
                      <a:latin typeface="Calibri" panose="020F0502020204030204"/>
                    </a:rPr>
                    <a:t>8%</a:t>
                  </a:r>
                </a:p>
              </cx:txPr>
            </cx:dataLabel>
          </cx:dataLabels>
          <cx:dataId val="0"/>
          <cx:layoutPr>
            <cx:aggregation/>
          </cx:layoutPr>
          <cx:axisId val="1"/>
        </cx:series>
        <cx:series layoutId="paretoLine" ownerIdx="0" uniqueId="{557C1FF2-DDCA-40C6-8AC5-E324C7484837}">
          <cx:axisId val="2"/>
        </cx:series>
      </cx:plotAreaRegion>
      <cx:axis id="0">
        <cx:catScaling gapWidth="0"/>
        <cx:tickLabels/>
        <cx:numFmt formatCode="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</cx:chartData>
  <cx:chart>
    <cx:title pos="t" align="ctr" overlay="0">
      <cx:tx>
        <cx:txData>
          <cx:v>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 </a:t>
          </a:r>
        </a:p>
      </cx:txPr>
    </cx:title>
    <cx:plotArea>
      <cx:plotAreaRegion>
        <cx:series layoutId="regionMap" uniqueId="{A1C9224C-8741-47EA-944F-52FA3D707588}">
          <cx:tx>
            <cx:txData>
              <cx:f>_xlchart.v5.8</cx:f>
              <cx:v>Sales</cx:v>
            </cx:txData>
          </cx:tx>
          <cx:spPr>
            <a:effectLst>
              <a:glow rad="76200">
                <a:schemeClr val="bg1">
                  <a:alpha val="44000"/>
                </a:schemeClr>
              </a:glow>
            </a:effectLst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1Hvrct22suarpPJ7qBB3YNfOrjok19LN97v9h6VYMgHeQBIkQeCV5jXmwaZlxY61pFjjnX3qTFSp
Sslci41Gd3/d/XXrnx+3f3xsry6mn7au7d0/Pm6//qznefjHL7+4j/qqu3BHnfk4WWc/zUcfbfeL
/fTJfLz65XK68KavfsEpor981BfTfLX9/K9/wtuqK/vIfryYje2fL1dTeHHllnZ233l276OfLi47
0xfGzZP5OKNff349debi55+u+tnM4VUYrn79+dZHfv7pl3/985c/PcC9Qm7Odu+jO/IfX8SL/vJi
uugfOsTtM9zR/KcWLmdeLkEBwo8IYgpRRNXnH/nzT63tq98fM3QkFZdMYnTzWH0R/eSig6//caSf
nk12Nf3Hqy8fuO+CPut5cXk5XTkH6n3+/5+85NbN/slnPtqln6/tW4Gpf/359PPNGGfzm3/P7bWG
py/us8sdQ8El/Tea7sROnY3Vf9JyWBwJpGQqmfhqmm8tB4YlTKbiy1Mw7I3n3lju64n+guHue8eB
3e77yN/HbP81XV79ZtovN3efS1/H/A+EmzyiTBLFVXpfuFFxpAgiKUI4/fyDvoi+MRqc5+K3//O/
v3ug+2Psj28eGOiPB38fs7y60v9ZEGRHDGGUCsnuoF+aMkKwvLGWuG2Om3P8hQC684ID49x5/vex
0bFp/5NoR8QRYohxJMi9gaOOOJFKEPz744M89fk0f8FQh98/sNPh47+Pmf5Lrxfxi1f/Gb79NybG
U/fpQv9HHYUcISkRESm7gVB8O6TxEVUScYj3e0P69/P8BVe5+4YDZ7n7gb+Puzy+cFpfXP4POsxz
2z0k/QfSMb2uoZDCvxe/6k71myKMJSHkqy99W0PBWf6Co9z+9oGT3H7493GQVxe/TeZ/ElDeX8QH
3fMHHAQfpTTliKXyqwd8W2TTI86ZQFBmf81K3zrI9WH+goccfP3ARQ6e/n185Fwv8crN/1HUR0eM
cZJSRW7BPVVHUMBJqeC/m58v4HFTUH89yl+w0n3vODDVfR/5G9nraur+k8bC6ug6ZpigB+W2OILW
J6US/x5sYMtvo+n88zn+iqUOX3Bopt3PP/3dzOL0hf5yTX9Wv/0A3tEjIqCOpl/6U+h4vsE7yo8E
WAhB/XR/OH2+4Osj/WUrHbzk0FL3Cfr/13T3nuzGtW9sdusDn/mqH7AZPuJUMKy+2AR6n29sxugR
45SwFHiFzz8HnMINa/bnh7mfT7j51q1j//cScH/eg3ylN4uL+WL3mZy9j/a99+kX7ubg4fc43pub
Or389WcIhFRgRL+x1/V7bmHWdwjS26+4unDzrz+DsZBIFRARlCOKmYCC1EOuhCfpEaEMig1CJQdC
AkFf09tp1p85XOBokVTQ/IKZFQPcdHb5/IgdCY4ITxGXlImUoK8U+TPbhsr2X2/v999/6pfumTX9
7EBBCkKGm89dn1YQeAXFiiNIqlATketDDB8vXgAPf/3x/4VYpfS6LG6ntRXspPO4eSU75/luU4tc
ThsopsgpqnSvsqobE19oT1U8bZXQSSZmsaDnaGmm5TzgdrZFrWRS7f0UmM+DNAYVK3OdP0bTuF2l
mq9lVjZrJJdtnShUOCz4qRl6yfMmFSbkyst0LFbiV5Rhomn9wvKm68+GSEVzNjUCq1w3s/BZ0vdc
n8RZMVMYVW7tfsRLpTOVlqMoKt7XyWMj6XxiWN2EbJmoPQUrta9DqPinViXcFGXCJp6lSFZXTWKX
tWArcRH+WespY4yhbV/NrPP7zVNcTMMy9Y/9XGGRz9KgpZDVMsxFmU60z1U/xJgN3dSeopRP+Olc
heV03hJe7ge8sOVUN8tKCzI6gnNMqs5nm2lcWqQ2DCehXQyVBeVVEG+kpM3jfmyEfh9iulQo012q
G7ObFxdRkQwpj2vRTr3t9rbUCzoZesuemyDp+sT7ph9ORCnHN7SlnX/b0ejUcdiacX3LOYn6eV86
Ss5ct6XLqRzKuc/7iDjPR9/bsXBzh6u8YnXLM10u+FNbcRszQXiccofWpTpN3VDiDIH27HirXSJz
WTeJz9MgVZ+tBLt4YiRH71Rn/Jhzm+g3XY00z2a+nfhITq3r+Sk1bitwu7o0k8nSt3mca0RzoFrD
JUUrO45ic8N+GJP2sh265lPdTsE9T9a6VPmkuX7ahrhpMC7WOmsRZrGoLFH0xZjUoTxxo2o/YKNw
3KfJ7PoT7JlZzlS/SJs5b9mYwSill59KYrtth9TgnyeCTO0OK+vFfkk6V2cj6sfuJRPc02y0Tj1b
+IJD/g2K3BOKUCkdBCKAumIUopBCxsaA+d8GYj9GYxpapju6mLpI+jq88nR1+bKmus++nYj8LuwG
Bz7aIUym0r9Py77++q+nw1X/cp6urubHF8PnSckfz27/+scg5RoMv05VDhD29tzrRx7ewuZbCehL
GfQZWBH/5kLvwPK3Se/rx28gmBMYnOAUpioMy+vxClztDQRTepQSIdKUM5ICrIpvIFgdgREoU5ip
9Prrf0AwZkcpUxwrStObr/0IBEP9dcfu6TX6Y8B0BYOEA7vHWoR6xHjXNctQnq0Om3NdO1SebHIl
6gOzdhAnuK/mNLlxg5tC44ddTqH0QPT/g8v9qaxDNbniFGAPA+OrFObsIM+snUOs0TxA+gA4dY5c
Gj9t+wjQ8haN8/BEV7V/9I0H3KPfvTKhssWEYwyt5MHVsqTZNtuJUEgaCMDXNl4ls67eJkOTPGnG
4QWfJH1A5vU7v82n13pigSDRUgqJHR2EMVtmkTqqQkGHSjdZOdfkaRMIxpCvtvZlN1X2+fe1vE8i
pHCkBKZIwJzpthV9cHFqtQ0F82NzTtKxPuci4n06Ev8mTdxy/MPyFCWQgaCsIUqKA3murZ2MaAzF
RKpzvTa5XLV+MvHKnJIU+wdg8R4bKoagPMGMUgaszW3tJqecMRsORdqMVW638BQl7WPTLUnGe3ZC
pH75ffWg2Ds0oAIfhfE5ZBlQEorrb3E4hK2SbWhCYTB/7dZanbEYugfu8D4hHErNFJjr6zn8wR3i
ZFOUuykUsUR9VUAmCksWrZSn31fm7u0J8AlgzqGKpIqmB8qMzTBC+YZCUfkpzsd86lbzlHCLK0ht
SqjdUFvdnscaSgFW/JhsgFUobAXMdwhmBKrc2xeJu7rrRz3FYl1Dkq/VML9Gek33pUNjVpk+nsUe
LvoBTDu82Wup130ThXL72kcP/CU2sRS60rEwW192UE6VfMq1RFXcf1+9O4IAyZhgAkNZj0DRg6ud
Ez5ZLaDemEVdZV7r/jnu0vHpj0uB8p9Lgjl0fPIAwoRMfJswnRadROFDUysnC1ZpxH8wzAQCTRjo
giGirwXdNtY68qGqbRkLtvDmkgKm7qBh6J6mvFvOe+gi8lpWc/WAsT5nmG/RUsBsnOEU2hhIyykw
r7fFyqVsK1c3a8Hx8cCbTDY74bZjjsmJS9iJr9WuHJbjlDzkJoeBISjswHDGJNRc/DpGbgumS3BJ
0rhQjIJUj3xDqmKWNmSD7Fe6q6g1azEHND/7vjkPizygYWDvBhFoBBU0feRArOjV6jGgXVHKKfAd
nUgsl6wuw7jlbW8T8/j78u44KchjlGEqFLDeADW31ezs5NOxTNKimkZUtNzak1I19QOhcJiBBKMC
SyAAoRpCIOhQqxVBTMtWFoMJ7HwzIjybQh+PkzTZdnoz8YGMd+cWQR6swmBAlxSKJnngrAl0cn6L
WhZEK7eLk9qqTGhvpszMkC4ecNI7dwjSoDRMCWc8xYgfYPVCt242RInCibQ5nWZZZlFv0/n3LXWf
ThzD3QFWwsSbQ7n5bdoZTK1ZEqUoRDmIj31q7Udau95lLU6S4t+RRdR1zAmYsB/Ya97ENrCWi2JN
y3Y3emceM47NWVy38IDD33t5GMCfQi0ExfSBWpVoYs0jXB6u6uFcNtTlUXTuR1Hy2kQQVAhqL8hy
8qC4xI4pv9SNLDqx2ldrP9RnXVX3D5joPjf/VsqBLry77twZuF3HcXJe1XBZgSy6iLoiRZPo9vX3
zYSuX3gLHT+rJQBsrxsNJg/sNCW0XAG/RDHx2b8ehtq89NDdnjcmNHtUc5rBU7yXwCGcTSRZimZd
SBHx4ou6Yfu0Wpuz7x/pWuKdE0Edhq/pRwFl7m0v1c0gROjAc4Rbu32C0PSos0jsne91PqXLZeon
/Ob7Mq+j+Y5MhqAzgtxEoQ68LXPp+mi3Dolig12RLPUsHqs26Y5bsSRvKmJfVOXiH8/tJk6+L/je
kGQUUi8WGEPCuC1YT2UQSccEMDYrOUFDG3dmWWPemlQ80DVc4/BdHf8QdYDTso+t8RF0XLTfHmmN
XuDFNJnu2ZAh0p1Il8aXo0nw3hJrHzDqvTEKC6Ec+l2eSnEg3CpHNp+AUafam2OvIjkOTvX/Duj8
IUUewOhYBa79KkQRybqd00XXWa/kkLOBTvn3DXevQteQDYigJDQptw3XRp+MUDmB4bBaj3sh7Adh
l4cahXv9EtZOIK8qKG8PG4VkMRWrari2jfH+TJEoztbSV283GMZcWMT6M+jn2bEcgTn8vn73S4Zx
G0cccq88ACIt+9R3GCS3vkEh06NFJzw1yZ4tVp9tI50Kzk0EFnZtPn5f9H1XCyUvFIkQEgq2UW9f
bTTpkPhkBdHEiJexp/bM4K16APnui7xvpRzATBDOp8DDCiA6Ub0vE0vzEblpb4CTfvLXFDpIHXOn
OiE1RF4vVndaj3W5d/NCH6gh7ksdAhgIYCIU55JfP/+GZRd96uyAQaEw9qpAmK65U1CRIbGaOovS
ugdc5N4b/EbgQepIyZSy2WBRjLxtP/YMt0VTtuaN8wv5N6IN6CsJTACH3gEfGGuUFV02BWlxnSby
UUxrOJ38Nj+Q4u9TCNgUAWwcZHmYjt2+wdFRPVYMYrqhasuh3S3P8aCA/Qbr7b7vEveKwgQp2CGC
go8cuMSk00oPtpbF2MshM11iL8XCupOl1PMDlex94SSBukHQrgro7g78oqV1nKApEMVMKMrTYRx2
XcKaB5zhfikMUjal16OjA4WkamD+NFWy4OXA9ojI4VGwfjn9/rU9JOUAlULjoI9JwEJhqgHlqzXZ
GWDV/y0pUkDjhii0xId+UMrUbCtgnx2jyFzYYArR1OYBF7hPF5VCgyiBOoSh2EEGadYy0tiBLtAp
00zhqgNsJw+xM/c4GpCukHUVsNOc8wMpDrNlqf2AClXXasimDS3brgxs2rOyrNQDcXpX2jUJlEKz
S2CxBhqW2xEUGW2WpmQIOBGcmj1PCB+hivRpcppa5voHSpq7V8iogr2CFAKWwfDzwB0QNjKkqcZF
MnVoD6XUlC2VJA8A6z1KMcSvy1EEVwiZ+LZSTi5Ywa4fLuw8tiEbxUBgcDdVK0xtZNM0P+wXHKYz
wFMAmcYAIQ7ide1GKCkajAprUnYJBFegeeg3/xAd8/nctwtCTqCqUNfLihR4rIPac4Dl9jAwyYq4
hsb/VvYjH8UOiSQNp40KcxgzCSO85i0NgorjdCV+ytcOT11W4xJ6CegF4MkLIL2x2Vtozse9Qk2q
MltKVefwDPXdvkyFxrvSrbHN1xVN5Pj7mHDXPFwQ2KWDQgES353euZrqxs4TgX5hgZjdC8HWKl8I
Hc1+a3r74vvSDrOsRNAGAqkqAE5h34UdeDhYLELfw8qih8ltl/kuad4vo7ZtUcH3VGHlVtY/GFUg
U8E+KaMECRB6yGAtDv6Sqe2pKpSLSp4PnhAEVBJJ6qJZ+u73yd2fjlEOo0oCnUq5IrAZh6CfPux0
mTLbqBpfAqGjBRARKafvJ77iB1D27k3K672ta+dTQMsdbgUksp9qO+uySFox1gVvB3EVuhpnFSuH
D6xZkC++b7u7in1e6YNFbyWAk1AHgQxMsAeuGJcQyH46GVxfnw7eyQfg4jp8ABG+jSxo5+D1FMF2
BfCdhByEsJu862EKZHcet31z0aY8GU+EhOLlhcHR+X01pltps1Au73Tdwr7Dgpun7dTJp9VKtiVL
dCQmE0H1Ccya9fxyrJvyInZdYvIpmTvYG6D2XWyqc1WhV31l6QnCMI3PaF0SAl6pyieog8qc884/
g0K3FdkMzMsbHcd5N5hYv4R1OvciwWrss4j0VJ3XaRyGc8+aqdigttInYdlgNtwgFJ70YmIdjNVN
94rNiz8mpaGnaQvwtzOiZm/XSk3HbTmGJwkerwacmCGTS0yzqdTosqvHkHnk6g8oKHc+ONE+8wmC
tJrYSb8ii+n2gvRLUcJJskmWQ0FZ+K3Z4C8Os4WG+eWmWgtbF2vocbHVPSqzdUzElllPa1OESlbD
cdV4Xu3S2EmXDXFlSdbKwQNdR+MJ9508H+ek67KWiDbXCcXZyOb4pHO23gm2THmyugFnYRpTkkH3
Ex6TdbH7QGmDsrkpu5gR2qX1jrpWZiYp3eNQdaTOVdOn70W5bm9qCoxIgzHLGwbbBn6o1bKHNQ9y
RfGK13xLEt1lejE+m+xgi7XC80mtod59Mw8iqfIEseub6qtKPNG19zpnPold3lXARO5L3tV1Jo1m
4i0hrWeZVWP6xlsq3nntWZ/ZBKmuGCSyF23dj2A811ef2hn15w5MvLxKUGtnlU2w/Gph0mVhxFhl
XDqOslUvg7/qotDomavgiwWZMH8qAlLlGbzWATkZGwqEwcbxsIf5FYzHaj+36PFIFrzuQjsNJ2XV
0mk3tvOgM2KrkOGuRPy8Srt6PUNWr8PTEUCHHYuOmfRyXToz7Hs1ircN0cnZhOdodousurd4q18g
HWwR7OLe4YBFl7nEiyXrbD2QXTVH2ubbatXHiObmWRiWuF+XVqMco6p57BNcbpmoJ5rTtJ3D88ml
XACaDdwXQHqOVTb2pqq2vPed3fLZwM7OCa65Z67Kaj4yu+6NQNpmY0PDcEqHqLt9b1T7pLKxSbPG
bs7nfnTDk9mBsNxzaxhsb0jTFjXHc5NbyLvhcT2YhnQvLLQxwLVsVdlsr8myIYgjP1iX162E3aSu
G4N+AQlyqfcY+8h2QtVD/YKz2EFke/h728oUFW1X+1SNddI9qWaXmCWH68BzvrHKLUWc5cAy1YiG
Zks/uTejl6PMhVNJ9aFPm56ciKpvxJ7XVZKcWTm7pwkPKikQ4JJTGa1CqmHkOXRlblIDM5NVONgD
UlZYmSViXuHFuAzlXkhXix2XVUgKAhgPodaMas2MTPGeQqwuhU/72u77IIdncoVI2uutjc8qFWVf
lHztYc60BWi1yFjxy66cHMkTwZUueoAxtO/0vMHod/Tlmg1VMP2OpIsfCpkmWO60a+KbpEqYzRKi
AtkJU8MSk283/dQMdR8zOfXDBW1S/JRtpTfFko5JKCxylGeTgLG8RtGQQsIy06nAlUjOYOGquqwm
yH7F5HCURQz1ZqCeqVqV1X3tVSGmMv7m6yYlOayUre/XiBtxTGsEQ5bEuuqCO9heKzpbpTBu1bBa
k421qeG8qNFv+ZSMaUZG75MdjPgTsw+EbseeiUTnqUkJzebN8i6bYjrOWUXGcB7muPb5VMGUKoM/
ZmvW3ZA6wvOhIh3eYLdRbnVh+FaLU+GR548htwNHCz7QobPUItns086IR00wQeVqTha/W5TYfEHp
ht/qalTmeCZmi7uNlzXPYr+GTyksS+jTVQ7Ntl91xR+pxkDKWtmQ4h2RG3qGxyGYHE3RaUBZLT4t
qFFPoHQi9ESbhb3nfI7pGZmnCEOvrVb1CR3cavPF9oAjtqboavBmjTvaseF92/WwHTb4YG1GQyXE
fhNofhsVrMEB6sVmOJkhdTxvBoMhQdi4wHpWbInPWClUmc9jKR+VMLe5TBoreNYhD7tU9Tg7klVj
aYZjZANxebsI/hGcbK5gtW5M0Q5FBBoMJKxTHmHzgGZ2pm19rNeJPNe2rtlej0mXwuaa3S6trQGD
JA9OF0srpnlPaa/roq82L/KhE7TNYECkQp5i52HcSGuoRx14wwcCb8SwX1C2PidiI/NOTy55D5t9
5INvDbDAa9eRdzXtGgY36prmGMGA+cQxMZEMjbBJl8XOC5WlA1aPEKurtjDDVF6NCd2aTDBvRaYm
ysZ85LCutW+A6MBZx83yVKKWj5mwCXAZwNw5u6OBtjIvgZmVea+rjRQuCc3r2cQ2LaaONA1kZT8u
e0b99lssAayfcKyX12VszLJXjfYfqIjNo2ZuU5xRM4B/zH3VXSULYGM+zLNWzy33sc6lSfoqQ8F1
bbZ0s7c5cZuWmU015Lc1GcGAqlOeFGFtRHJsQ9mtO9LXY38cbDR2v8Bls3xoAqjoUTWkWb21acwm
mKF/ZHIj5HwUVtTZ0PcDzXoiozrTadA0b3wrbQ4hZkzebskis9gAzubtSrQDJKhIXeAG2Sd6LRuc
NcAwKCghTKWgm1AsnEzBpns72Q7lQvlpeYdLQPrTdWhQXQTnGb4ol1CjXaTYNU9sH2Fgn1mth7Az
/er7QlctGZ/HkcVm2RFndf2bwMbYy5vdzTIRZmmPqedrdK+hp2yjfeLFvCTNvl/SWMUMVlNo3T93
Pnpc7lc2TyXaldvkB+jqEzQB89Lglk0Zhfuzyy4d4sjT3PKEu7aY47aaS9Nq3LwTqMdtms2OeYAi
KNgoRNpk+/3Q8RD2bW+msmBz45bMVN08PC1xW58ROAC/hvg6ZrDZ2V4BXs/VToywsZoPWkeWbR3Q
UNmqRouzyXh95eqqbDOLt/Fl2sEu056yyI57mDS0ew0DTpPNC/xLAQGMH3cw1oGkuoJBMwLAV+X9
AIXQ44niWu1DV03vKbw72Uk9JMdknFd/nHQz7APLCYrSrFtYI3dlt/nnbT1Tfr75Jnm3IsiSe1oJ
ZIs29tHvfNdMSO3Hmm0TzJOq+aUlXb3sYGmsDnmXyGXdt7GuztIKljJPFzts8fU0rdoVkDMG+ba1
ydRmgxXmYoVdwJijZobsF9Ua1b5ZuonkfgF2NPcxyJdbO/djDjfIhlwvW1Puq00vOie4lEtGTI/q
ncSrelGNYXyCB16z88Qk6zlszfAtg5kj7Oc2hLyv697qV/XQN+Mx1bF+qjcHiDWNZj6bgvdLJpQk
dJeotoaSEYZd70W74S7HwFdU+wkhW8N9S9rvUzrJZ31w7SfUdEHknXNLmq0iMiidCfa4oLXYXrRi
6H8DRMSvuh6FOWe4nKrjSOpaZLB1wWHgGrnP+37Wn663LOhx1+DlMiTOptDCSKA3y+F67bieh3IH
e3DtJ2Uh72dA1KR1NjXz+myjjWwzZlF5VWM+Q+8ycCjdxxCbq01COttZPU6P0jWGPl8SDJnZzq2D
Hq5E01nfaygLV0fEsG8hI+yTBviigqCa1FmjyEB3DbQ8PnOmWd/ZyN6WMQx52lYXzJNp57prxSmf
nSpoWD7N49BkvvTw5rJdnyKxmaeTXC6HWcECuAz1463qQQHjJlk1kHise6Yh1l8NfjOfSsMwbGDz
pS+kWMY97/Q0AR5J1OeQCt1xAP5/D0OVZF83FYYKeYzdb0u7jm/rhL7coBHSmZ+hOsoGWOUUWegb
eryuY1/UKayMp5MZZaY5Dtc8F08LqMehl1kNL5Cuyxcd7LUHyKsjeiTL5DTWUhc+bOgVTavtUWym
IZ/mIB9LLcY9Dkq9UTCAPFdQI+RO9BsssKc+eTWYPnnf0aZ/6Ycl2Rs80VcT9uvzVXa4zkplPvS6
AxaIxcSP2VZD93pttqkYooxnGur7Y1N2OgPAEm8r6fzLTrGYlziuTyjr2rwfJyiqktRknHWv4taf
wJZ3Bwsrc3yEV77mfoLIznQMMV9Tu+RQ+iz5Kmv61oytOUG2q99FyCC7ZG5UTv3Y56zc5GOeAFUC
volLliUlqGWb8NIJyId6XOiZD2Y+1cBgZ9ucPppjey56ejyLEDJYi56zvqQWUiFQfYq3S9Z41Gaw
uYDfptBinwi7NcfWbvh9pJwDA9jWb/q+2daMV6l4GnVc99Mmz7dQ9q9Dwns4e2OKJvDpvKTqLIFp
zKewuvHUrwaW1ql+QtKkyweaunwwLazqtyx5q1MyPgoT61/BXxLML0IyB75fadlCx+pxekLbMO9S
cEUSV7InjXi/QruZxZCewpjJvp0WoHVj29c7PCcyC+vozqEJNQHGrql6b8Za6D3dSpNrp3hGu0me
xKquiuCtOYWFPX7eui5+kjIhJ83YQkndYFMoaKOjTz/wgScvWtWUJ7iak/PaaHNiBqAjMp2YOkdb
9czOzD2jLTKvjOFuzNeleay3LTkFXmI7CWIALFvD1QKbGvuu3FDGar68Az6q2w1LM2eldM3Hsqni
mYWx46OW2Yseai/oLIjI6oHSwq3BnPuuNxdJ1f1f7s5tO05k3dKvsl8gagABAVw2JJnKlFJHS7J9
w5BPnAIIIogDPH3PtF1lS661qmvtpd29+soXHkoyIYj4D/Ob//gGst/gMBCpiqlExSFbGMM9TjwO
hexkti1CSp6XIeE0i1B12rZI6jOFV2YPKdbNmsr0PDSQveYhG2S2rgMW8NDZoABLwjYCjdmDNwzk
IJh/MNyW+5CN3bnuooewpOR6TXyXDSoU55FXe1iPqxsfWS3iy5gFt9gw4s99G+JsYBW9jrvyyxyq
R43f8IT0Y5R5H/HxveNpzbMwaVkRda26C9Z+PvC1kWfUs9d80BTvDTbVbJnKFmpjRq8hx0DYFc72
XWOaJnMrMmCnSxAulCITwblE/TrvBZTQGRL9scQq78u3Pl26GkkU6mT5opUweRDMLM2G0F/PuJhw
ZDeumxGhN9LJnfSUcTniN31bDyPbIBn1b001eq7A148koBRUFTa61CBgwokTgn1rUrfORohaE8mD
czaicJsJG9K3IoLlUUYqFnyAIrvf1mGqym0XjjHJV83aS1eBnMhQHuJllkyVrTYTnlabC2wRQ075
NPd44UXy0ccW2+HVY9FuSXXAd9y4EiKtrkO8VarOwwaiB0azJhxQkrU1qj11Svo0a7CGpgwoiRdu
w75GoTiSrd9lPZetyBtBtb/vhsTqfI1w8zKyOIKTuDZJlXVebcYNEzy+JmXDknxaSRxlXUKXd6QN
ljpvWwZshZOKPo6k8scMvQnWIAkM5jlLvMgex3CKl7z1+/STHIn6wOZ5vuamtyorSVhVG4Nd++NA
mqTb4Gzr6XaW6YSFCa1dBQgmDlTRsDG8HwTB1gZNZdNtLEkkDibEluKoUUZZ8m62ndgapETpRi18
aotWMXU3mLFhWQo9Rpzh9J2xFNC3e+LB0oboRMqYZrOdXQn97ByhIGaHDnUov0qim3kJy+Os/LbO
BjSdSrBFrb1MI+ET7OmVRsGJTeI+nhfUjYdVlY9h1Dmct3Jpqk2IUOyLll3U5mNvxNPYmanfO1i1
QedtyyA+EnpKmpd4TtZ8GMsRauKww0ETDAtCSo3QX2+WcpreCZPgN/QLqqapQeUow06LuxdUIqyz
ZAz6JQ+cENNm8rvkaAae3K6TSeW2b8uOobojF7eJHXLxTRw2xNtPBjE2BAfSblvXoVOxyLltt742
2CKbAbL+DcQeLt6lwMjkIeDS63ejp8jZUkbvaNQHdRHxqu0KizLsDD0yX6Z8WaRZz3RfzXPBsW8/
sImWn6sWJ0++sGm4Bbym6osAQV27QRLrB6j58OSTQGvSFFU8e1iCVV3ejqVJ4pwEAeivEdrPviAN
Ldc8RLp1z02JSjYWYIu0L6lYXUDpNYqMoFA8ZbbqjMvCOZR4O4OFdtukTM1xHSUSstQoFJBE0sdT
1ngDpJQBCkhJroSXIHvsYx28GUFNVV/atuvmQvM+UHsfRbfjsFRC33nrGIodGfFKIQ2ZoIYthhA3
Y5s0nhWokIym34A/xAHiURNFm2YVbMzdkDZJTktLzmNkK59aNHBsHq9LMGS+bAdvs0Aecjl1Q/vk
u7Qd8qmpl6vALdgANfN0nZXrMExFGUbzpa7jodnUlBOsyLr33xgdV/Fu1ssJhQNF0WZcQKGbh1VZ
L5mRSMkO0+DjwW+m2oqZZX4Zapw+s3Dh/YwOUHcjJzVMxxbCHhbmdcD5ivCNowucUFt+mRaO5GdN
+7HJyl54DOCi0PxU0NbLfTJzwosBex3qtSzukOegc309au4hMJ64o9mUBnbazJUObZEyy8vjtESx
n6EsGkFuU7JU7QbRKYjXIaUPoMwSyuoJIcA6N9nS6nS8jmfso1loojXJ+7XvxPXS+dI/esvQe3i2
84ispJfaQ22cdnrHIL5GKmon3KcSbGC8dwZEIUQViBQeF5QHzUZbRIfbaIQKbchKQEPeg2tJHUVb
59AQOE+XuHUHFDLNfK0UxLgFtvzA3EUqQV5V6IASPMm+b1q2G5tSTm9aHoU9Vg6x9qZcqFd9kaPX
k0MNUZg4JC6Ctg8byyTvbGoCKNNEW6cfxpoKVucD2Bbd534TkmgXoTM07BWi3JRjA2JiyPDmNdNl
g5rf2GepqI0/5l6PLpKfOaHt6OXzOorFz3s0rL/MKnQfugiZWo50DLzlxlsU4+HBCO74HuWZOb3n
FA0v7GQ9WYnIh7Rkk8mQCxKUyrnyFbtPXUfd1apInN42PEDxx28ag4hIh/VSoTccUuQBSxp1UeGQ
SPdvUT/ntiB1qEifTX6bINZuyRp1l6yHqkrs0K6k6w5mVrI7GwNUi/KKTAQpZGRN2iC3XBxDnDeg
25SheK2cyuIhaqedAFK7FF4sSXywZUmIyOhCRZluEAJW/UM/Oat38eQMom2Co5zc2qCpSZeB5yHu
HsLjtp42XtvPPcnlAiRxp8poTK/7dl6W83JMm+qcIclvsgpoabeh6BQ0m0kY2XKcbantzgiXs7hF
d6oMttHQReaSs2BEIz7Vk0gOXQlB7ZppNSTDlZjHeHoafDS77hbuTX2E484RIb61hb8T3dff2m1/
wR8ef7cAfQ4bfuW3f5CI/49Sis/MC55Rit8IcjQV/3AR/AVV/DMHxV8YdHzCd4A8/S2AzMUDhBih
OEx/0ItR8Bui2xT6d+A1URqf1EPfAfIgAb14EhZBdp1EkJSjnfodIAe9CGT7RAOkQOM8mv4tgPzU
lv25m/ocaAiiF3rAl0CDIwA+MtYr0h0cOobAhXtfomXzlXBIUPVS2wTC6ekv+rovu8enr/GDc/CC
4LkM5N/JOaAffmIcAH+/VAXFr8s5AEd7/qtelXPwkhc6vlfhHJKX2tVX5BwC+kJE83qcAxQvzx/V
a3AOFCZnz6/yGpwDrnIS9fwkVn1tzgFufs8v+H+dc2AvsZXX5xwg/npxF/59nMMve/gJM/mDc0AE
9fz2/3vhg18VYs8v/uLF+e9AFr8cEl9/5++cA2TYz3/nq3AOv4g6X49zSE6Rwc8v6qtwDsFLjfL/
GOdAX8Kv/3OcAwjm57f2VTgHSl9oZF+Pc6Avaex/kXP4s7f5B+fA4hdvMxpr/zJ2cNqVnkWeeJt/
vtSLt/m/j1T82fbxg3MAkvd8SbwK50DZizv4epwDXLGf/6DX4xwYco7nO9VrcA5gTp9f5VU4B1h4
Pb/Kq3AOqLM+vwr0Mv9+zsF7icH/q5zDaSW9eFdPdBDeGRwfFB5rz3+M+EPNXnM1ffTLSHxqnQnW
Q0LY9J77ktTbqEYDpIhXCBbPa9+i3m2h4UxQBkv4l3CYeZUtVRfsUr9soS2saCKzqVbze7+PvL2V
vXXXbVcPLtcVUZ8G1y5eUS+mMzDWmCTJvKDi2ypNe5F9E8onI4ckjrdVOgIcHhd1ZWnS35Bwlu1u
xqc2hV8tw3GpVVvvgqTGUJE+GSL0MH+I6uEUFB/jREBU+01ZTxeC7gaLm2nJUfb3qqwcWx8aQSZb
b+e0KlUhnVovlsl35LkCfxaizrVOILT+qcDwvd7ys8/b6Qa/eAA/kSaQqT9/AC9JE1tB4LtpBfT+
X3GTuufzHi4eZv6L65424efXfc6cvLjuD+ZkEtEQ5JoFFfrAJ/BERcrYfNYMteaw7OKPLZQ54faf
/+xft+yfGRRYaDz/2f8ig/Jr/Ayc4HcGJcK4h+dX+cGgRAOEOms4V2+NkNEZusnrleoiAcqmqR7r
tA32gtbzX4E9vz7cn6EUL30Rq/yAUrh0DGq8BjViZcI33/AUsaDBAROR9O+vqZ/YDqD9L6LPH2xH
3fcyRfE7Muhzard+UYE/7v6PKY9fTENOmAe4LLjzQMMPE50XT/VPMY/WtvEHyjT67POYFGYY6KnP
x9crXvNhszRmEX+xtl8+9mfkB41fUnU/yA+I98WcxVqivgt7gPTTqGZ67ninouwbCZLObbyTie3u
/t76Tp7TIC8PidehQcA9PV/gr02DwIzpxZL+F2mQr7XTZ/tTEiASDrwAp7gPyuWld1bTniJWcJ2F
g4hpRZuqlG3ObQ0+lyr46mWJUOVdSBvz3uGEu4BqtoesHDLdQ+I3JZR/fII3TYtTy99JleAvvEno
ZRPYk0PhlDQVgXiplIXxFgLtthj6twlMHa5xQYfGNyXqfArm4NKDFLrKmW6czdBNItvTur11SdSU
W8lo/cmDnyPknmigQ7E6hPXRMXTJtugvKa/Qfu3GLF3LYcxcF5h6O+k6eq9K35W3WHip93YaGA/y
qoG4ZFe1WtTbEho4ClNLqDCmgLQqXwxJujfan+wtG4dAXmsoefl25K1YdhWUYmiNKUbmx5OWMSyS
SHEDh8Y1FnkfkyTZjgH6T03F0NcFVk0+plVlIaEXJoaAsVv9B1+ggZ/5ZmEki7ibqy0MKwVQXjf0
aNkZvytxGpDqtqkgvoQbz8r8HHqzr1Kt4CTNdWJqM0iQ9PtZJOMdQJ/IZdKuzTtIzpug6CD5v9ES
d34TmdHbo7m4QB8QqriBKtVOCzQjemiazSDTuc6g9oQek8B5q7poV9gCHQjrHCtmnPaPTRmZmzBW
rd2Trrf3wQhv0axKBtiCsppCcUqhjYs28TL66SPgkjbKQSEafRmD64jukjia2xx+cP0ZgJFJ7cXc
OWgz01ZuR6WS6YCWJJrq46pEvakCX7B8WZsaT4KQBgyE6OSnNNTAuDtCoVqVnhOfRtifqr1ZkrHL
1qkpK/DkaQRhTQwBdz65di5zkgrfOxflYANALCGsv0radJCiEaGTSykVdM+QWqy9n/Gpd90WvaLQ
35f4fXLrD2yFq8nEqyYXaN4HubRwCXvypIp0VjZ4VBvWSkBQnoUuKhxVdD5JI+wRsNDszmTZrOoQ
NN58GNHSGPMW+znfp/7SHNe2MTAupQNl26Cm0XqglPTQjgyQeO8ioI16M1Z0+JQ656kzKtcJXCNk
YV4OJLfzcx1VNtkGlaz2nfDGakJ058st1mL3ZAi+xGWqAhXnUD0Pw5kohZqgR+exl62s76tMmzro
r4xlbijaRiyQk7mud5fVEmjA140QcUaECdi+VQ3DDSBdpe5GlP7doxeFg9zWptL6VjKNnhxJLCHF
tOj0YzQGkdqsRKsDlHk+yyBSiWiRaEbelZ5y07YlsYSQxWNLn4mIhiUemavkvhwa/l43M9xNFiCD
9iJEe5HmwJCqAZ3iSAebWhLrDpUalm0PO8jlakykrERexnH94CwWwVUAtX58r0snoMKFIvE41WR0
WRL5Wm7nChaB+HThyzuShj3bl52f3gzS1280B+iSaWp9gM4r2xNGB9xtH/YnWbiC2gMsWi7o+sux
+bhMEPkc5iEN8E3WpYQeZVxrCA0Rn9+Gsm/xegV2HA4wXi2PZO1mSKhcQkjeOfiyYotycMyZEtoQ
vJQxv5p7xURuYRzFMoaeY1e0pUg6CFD1cKe8p7Bam+RzrGPd7uO+RkyfBM7/1DWB+tjoSbNNbXoO
h9kGIpFdWZac5nMVy2mjp2Bsim/9Xu1FwAgWI7y3LoC44yTHXd6Lqg8+zbZGUzyl5Qj7qD4E3vGt
IezNXeByGM+mfWG7EShDHagG4lrI0x+xbaSXMKYpDz1fo3Lf6modCpuo1G64WKu3eN7dzaxb8rEv
DYypBPghsZE1zE4y7eIQuhmA115W2mTAgdIG8HhtQ07Q/F5xS7LYBRJGEYiaP3uyY2XWjGMl89Dv
gyb71oqO4ok/tXBDnDOPMKEyxeJlyIJI9jqPkiZC1lSbNANXAT4MEtc1ueCQkMkc+XmTHCJ44dJs
ZCNM1gTh+jxkdR/mUZN2K2wjgmmBMKDtHzrs/tMmio33yadNexsD+nn41tpWbcIvIWfBE+xtyD7P
YRmb8wg6dHsxdwMcSBqPLxsC5KPZerPfYCXzBu+ych2UgiVQjr1WXn0naFipfIY+B+iN7R3I/hjN
6b4bxefKExTYhsY5Bd3o6tJsTjvpbiGm65P8W9u88a3PtiswJkCJPEz1/lsHvTJcxsXIR0OPEtLk
au+PNq22XcncDCKg465Q3CfpTWOEIRmETR4Iat6bv+KEf4kWEWnAMoXByNI/NW1fBK3alwoUw9AU
VlfQ/MfwJIbMPwTlk63GI1thpf0CFw2sZ96L24Uu311x/lbT/T+tnY6GN0wYkPD84276y0ldPzrp
f/zx90a69xvQSaD0MGeFdT5A8T9sgJPfTh10NFh9jMXEaDgEuL87sZ/G++EreOD6I+x1p5rS707s
DBNK0D+Ht7sXgJtCw+Z38/nvGfk/dWL/2ir/OVcGFsyAJMDxHVQMrAVerJBxFuHc4mQsYIrtt0CJ
ZYRCBYGaRPdwLVcAGzat70FOOKWrCUCH8Ol9n6ZrlZeDR++kP0KAomNaJkdlKM3VbIJpv4JeWc88
rcshU4AJYcv+1a8bdlY62nmyhCCyrILpwV/nEFTJOKa0WEkKkHmFJZm+8Bo/voiSzp8+Q7dXjRn3
RuPlK3DMK98oXW36SONLIAyM3qRDRYbNN+YlAuRFi7RdDaSczuO8QIQSbSE1PJpqiJqt4OA6NlCT
2ujzyev8YlQmaner4IIe6Tx7CJBw2LmsTRaAJwOxTVr0jHVvg9BW9VZOC1SiPYfN4JbZlk6AmNbF
P5Nrj6qCjA0iOAFFq5Pwp9m4roOfgoP6QG9LlKoikN0J/0CpgXBM9IO8oCLy34Wh9bYhW1CM+kfk
zUjxMIC3Wl1m+DXGbZJ0rN6r0cwJzncdP+C8BjmBaLw8J9gzoaX3J9FmUTPRd1CH9c026KCfzg1N
ps8LDxueBVD0fLGRF93BGT+5D4akN1lvgvg+WYL6y5hWySf4Hur3KaH1/aQJ5D4lyOEr6IW6L3Av
IixfaYeqGLSZ7qTIlw6C1x66NOQaCUjHsfbf23CegJuvs7lceiy08zAUju3n0Op7dD1Vs4HP/PxE
vBqS37ByVwqaIERnVR+dDQaSVQCjCvZSCBJEtgRNFZ4REGUQoUKy1eybqR7kWRDO6XXrRHKJkBYz
BVJ4cxxACYPZpLWVdeZpPwBs7UUdySqB359VTidvheXrlFOc3o98ZtVTu9JebiY171JS0gsER6VA
SS9VaY5kqHqcIXvL2nqAQn/u6cb3V/m2EylCjq8byt/aOf8/livBNuWfbbBf54k2/L9ejgP+Y9rF
17//tseGyW8wOA1hpA4i4GRqjuL4d6v1+LeTRSg82TBkA26S+I/ft1g4rXunYU4wY8CkGpSJf2yx
mBEJvxV8EOQ2Psx2/9YWG750VYHtCdxCQ3g+4B/4dL9UK0Hc11BjHC88JNpwiPHKcM28WYfTEeEw
JMUCCBzcftgtqWn91GCCwxGN8xk53KIe4nDoNhJs/RvwoGsRL0F0RhLBTqMz2GUz+kt3ymPqLUDi
bDzZVLVp+i78+u40yO6OHpKsrRQoCVO/4wUowehyQJoPBfAaf0Th27+P4HB2r4NoeooBq41FVXvq
koqkAv5A/IeuciVwGkLN5Tq4+D6glh0QAg0gv9buqoO98vL1ZR9gLAWuBmLbzFvrk6x+jHOfEJd3
cIwsE2IKII4xoG814XzZcdjxLX7vfYTmcX1Y09Sea3gJ5Hw1j2Iui7UfKAw5ujJDAl9ANokYDoHq
Jgma5WMa9P6usYkukhmxNa9jebGK6Eupx+QWknJvpxKOHLYq4VoTemNWLunnhfn1TiwmQfqEvHVo
m3QjPJBJcL1EPV6zGqSfTM9Y7c9Xzl/pLW4INg2l3Vkwt+N+XiHnnAfmFYTNIQZkDMi1Ie4FZDnG
N2YEYZhR3QYbn012Vw1UbWY3m4sQ1gfvDPLVQwDR9kZ5lc5hj2w2S2enIpbyaYYlwRk8XewhbRp9
Hq+u4HPH7oBCik2gp7cukt2uHMtyA9vbSx7z6RLKVXXjS6/cgy2BtresWfeA8ScDQDTcP9pUIKcW
1EnblYtCIOjIQHes19LNMBNAZrNVcN1426y0zoH+tGdGhtDLgvYR73FT5ZaGzGCoR90fGsbTT7DT
USDLYLv5FfiMEt1eQ0o/vWP1KnbBqpdjaJo92izHMO75nWWzDy9Jv4fA+ysKmvTCvokAc0Me3HhH
PtQf4NoAcr6JlDr7joSuoLkTpEBbAuzn0TeglHk4gWxBR8fbe3287r9RoqKGY/o022SP+rY8pd9V
/REgfdJCpWtpXlPqwqwLFB7hFCfzg2tMQHJvNqPJkbfwq8H6V/C/ShHuaOfyJfQTqG3BRuU9MChY
YCziy5LYeeuht5LNTau2EtJ/rC2E+FsfWESGHA9fAmAH4G9VF7JM17MyVHbfMXyiQwiIh8GqsznE
cUjBVGyiTkSb3vfIAXaG6s2EAv6nFT5zbV7Frc2mQFoIb5HxIGJwwJpLJiADd9Ajl0HHm6zmE9EM
EFU7s8cAetk171t6LW1oDxg00r2vaVzlArfxujJ6yMFodnlIp0sFq6JDNMRtHgKaKcAvkwIeFqrw
7dLecKnsRRnA1gXscHWCVOgZMud3Kydr9pV/jbioAQfWw0etQVuoOKgFGJk12o4nR+tMJV2E+gKY
uyPBfJicmlLxzMDL4LKrYR0DlpfGRyD/ZQ4zHw8q+raaYaIy8C6jpq+LRffpQw1LhxzVAhh/x13q
vQlCVzsI4H08bGSfJyMUEnhbODpgbUU9QpQM9Q+AYBrM0wi2nbaIXrh87Gfakk0KJ3MM7xFq09Z9
uwMqA5+GYAouIZkOCqdU+hjO8eoXaoTPTk+ZZZlhi708+dwcaDAAIWq9WcAdpXdUIBtOfJFDJmmu
kEmiBqBkfeVcWt31lrc0d4GaD14qo7txHsHrVgz+6TuLsOWN8oX3WdFE31t4Q1UbLMzpoQ7qlQGs
HIM38NXEBu2jcroZUVxlp4SNP8zK8HHLmzaWedIxcY29Cs3Dsi2B9oIqeoKRPtmMoUTNCgEmOIiu
/bxMdfg2tqK7M2oco43oBvZE28WJbC7n+i5W3ngiKypw7Z4vtiEMoG/gl77CtT+1d3KkqAqA3cHd
7scFyDDqaN0uxPawSUoY8GSJq6f3aenpzwFJ+g/N4pt7KO+7OxT5YNLjJWaqtm2ELSgb/fZUTORS
F9GQ1NfwkpI7hxWyD0edXmNPRjV7qPx1N/XhfRX2uNfYWtg9rwwYFTNN7iGU6M8g5p/wEoXou3wk
BC4jFR77eVImFKisMH0u6WA2zqGepCIjbtI6nvNRirnJSdmGZ82MNRgq6Qo6dtMXpAoDfDDrsWvh
5I1KaUhm71aMbtx0oF03jZ1vlqnpihFlcxjwDgjkNfhNxP4glj3cINMk/ZsSR+ZG8ShBgW9cC2vR
gbHC63Kh6/CNmKi5sBZXQCp2mXBprnkdDU804NMFHCL8M0zrYKgN9XYCD1gP55j1s2Qg/mCOBn4f
hRskDcMSo03tz9UhjuFlAKh6hfkNlCqA6Vk/bHtL60MVR2PhMD3jX4hE/wNzeCBRCOr+cQ7/6wDl
Z1n8tz//nsVjsjvzMZ8VWTxM/L0UCfn3CBMTw6FshxEpjCFTtAWRQP8eYmJinu8hUT8Z154GwaA6
83sW7yH6ROyJaQAs+Wrq93eyeEx4ed7xhoE7rHHhJoe2P8ruuNjzXllVLTBlOZlGY5CId2cMmNbM
OkunQirVtDvQ0t1Vz6SN8gGouyoSqaNsEf54o9w40zewtljCTJV2Pqs9EVYfoyE8Vi3HIrY8Nk9D
q4cJeB2r39vFgslaUDlA2Fe26Vj0IVFBBohsLe9hvIOVKcJSJp89HwPNxqwKeELBXoUyLQCkLlHR
yzokjyew+L4LK1jSVG0wHmZTC33DRz2JTdooTIeLZlQ1b4DItcd54eroxlqhx0SH7k3DwgXdKN/B
rMDxXiNEKk/E5mDh3ZPBjXz4XC2uv5JwkrtCBEHnLSxC0otoYOQuXmABkKUDNo0NxRy1JYclzDi/
EWip7RTKCwa2Qx1sBBNsS3beLFCYwOIcplSwVyAlUkd4uSAcKy/g2YpXOzFdnznMTfK2FfPlUSxJ
deZcY88I7Dv8nGFu2hb+XPCLgFtTmtXYd6+hFUn6y6ETCxzEThaZxdyzIX2qdEzmM+KlDT9HMNHB
Wr3sQYumMAtDLr4Ii6kYiS0zeAVFF7GG50Ou1TJXu9JBYpF1olSZ0Rgph9lkgxYRQD6LGOswI3Ja
om0Za7TKAfFiKoAAkY+BFOkWLTdjki0Bn49uB3wdceK2y4zKR51WOL4S3U/TmQynEAlwGugILcBR
rAdRV+Bfs5pK+mEeAGlzdOmE2cJOouQ7J4ax2gqAhR9QgELKMnX8EsOI7AVshXSxDhNsVeBNY+ts
Mja9JAjb35W+KBGHCiULConOzncSzzWZ+FjAoeMUnCj/IUoXcY8q1JiHo4/j1orKZqMorTkELLE3
ka37N17k4gvSwxEqj5YKTUrYes0H41ldMBVHt6CbV+QBVr7ltlWY8lauR9ohaMlVCMONjPSBP7xL
2TR98TjD4EFJnM8OjXXopQArLL1Md50cDk4YmFWAUZU7NsT+JphYdFq84i31jPziopHuCRj2HQz9
LM6GhN3jpkRfBJbSsQ4IDADQxErZIUlb9tTXDJ44MmziMxck5BF2gAghJTWFPBGXNqX4b8CP/YPy
wvSCxbVpNy3HhD40ZRFUTmZAF67zpqMIDfzh0tgGV2QS6w6p2YCZKtpjcBBKMW2xImP/wNf5xFDW
hr49+S4GB2uS4AiHM9T1YdoAtBed1OFmDlNy5FFdAT+f1wzgL3/AUJj4TCNGqqA5sIDvgHJdJhXs
jfymA3BWajiawPAQbeJgWcFsLsDJ0ASV+qOctPcBLVF6xLCofbv64z3gl7nKwXbWO9IsKrqepfMw
Jmis9aEFXIwAv4fp0AVHd/SqhZeO3cthBtbs+LhkvfWW7QS6rCxmgzoXrO7q8XNMyfKRVphVt1lW
rt9bePrljeVguOFP+n4Z0T0B31/FOV7M7n4J7TJmrDEYH4g7YvbGaf+BidjmaEyumA3DacEiw94i
JluK2rDgqoMP2gaAHcKXmdHLcW37IBMY9HiO/q0Pn20RwEZKVWitgi0NUEWCgUlm2qVKN1XXDde1
tZUHqweNKmcH6hQ+UQP6xlUYYJSQrtOHCnstzq4qGDcw7AquYnDzV+FMS73vBw2NGjpvnd03Ol29
t9pW5XD0Vw/BvYfNbI9BUs1BpiAQcxRlzbvUI9i+uPYeR+bDq2nsEUhNnvySwo4q3ciYV2cJHh3m
C8nFe1znOXqAQ1z5BntPdOgstpps6TjEJqf+/zby664Ccu4NsKOALyEaQwFMWPYmSMw1JhxOhetJ
DeeypJVtBnAVKRnVYXJYl9HAWBss+kACmPMjd8Orn+odRv7cpQyjEuWQu4U2JzZWyR2yyr7M7Ckd
JBA47UpoK8Dcwx4O0zeleVrgGZOh59LlHE04WITEiTvzKuxWqBl28hGlT73jFcdYUMCheymD7t0k
ag87XQXrBQyjTOUN9hC6byN/erQw1Mu6Ds55mZox1ZFiR0PCgrY1mjnqwqCNZ3IYuS/fJU5/q/D3
nxZuYXoTPFuB9bHUw4gONDJRavvHoVeBKbX/9b/Wz/LDU9M+DX9a5fvTj/yj4AftDHRI6JGkPsIE
RFbfwzFMSUyhwcWYIzRUUHH7KRxLf8NkBsRGKAaeOign4uT3cAzzqMMoiOPwFEmdOiF/JxwLv456
+KmpAtAxwmQGiE4xPS5M6Ole/IxIhKQ6GaIhPyEw1znEgNxgfroG6iJNcbhv0V+p99Ey0SPsMxB2
9XWynlU0uqPdUF1CdoICOV52AqFFDVsSlO6h83TRqo9NmswwGLA6KqGuS8fL+X9zd2bLbSPZ1n4i
OBJDYrglCA6iRE2WZPsGIcsyZiAxD09/PtCubledqjpRf8R/Uxcd3dUqiSJFZu699trfylzObs9A
T4vYDI8xhAGH3DTdsOzZ9tYIGJibT3auuc+0wBpUhRSUWr+Et+HSAR3VCmXsqXfTjzpIpl08LnxG
IbzoHANLxdBTKgM6QmmCepy0zj3ZMViFoAfh1gel0xrVxp2JHPTTTubDhm1k+VBXUfaZC164uzxL
secVSTidjXBFbOQelz8uIesjn0NECcXV1vTJEnRr/9TDdNmOa0+1rN2VQWgH9gE6rniO5RZu4+Tj
PcmCemju87VD8xqORLl2bRrwqqO4tHJFiFFKVMgl1qXLI/cVmN+lCwQ70Pnd2hrOlyZxbRcpO8fC
99YmMl7byShatK1cW0y8dWu3yV8bsnxvTshHaTtvPCIynhg20KU29KvV2rjiGKKHlZd2dm1sa+nV
1AI0u/na9hIoQQc8WOBFNyJpFbPgS5dspEb2aENGewpNiqRwbae9H4312mPjd1rRVWvn3YUaXTjA
PufcXnrzmC6dUCL69aoJ7XsZ6kMwZNmV2UbfTT2hue/XPr8hy03BK6X7d0pFBzsMXvq4vrE+9ame
vI+rYoA/oPFLa+IeoFp61VZlwZExV7W36g2s7iM99BcZYkjr4rkC5W5vp8adPHjTVh5UGBU/cnHr
9qOBrv1cOYYDTHFUw1NbS/E+repHfBFCmOwgiuirPjKvSgmqMKKJN6n40YpL9xH3hreH4tUHxNIa
mDQGZSlimlcBxrqIMW0XzlfjqtAglOE97VbdRl4kHI+Qvhehz0ZQrwrP0E4mk50u3Ser/iPjMPYN
ZWaIQhd9aMyyp+EiGkUrMYwV4lVMqicdYSm5iEymMzjn5CI9QeWkKHZXRaqbvQLgTWbgmnP7zrcA
hG3y0EEW6IbIhoA8Ayrp3GE3Z6I4jShcN3Vhh8eZRGJAFXlDb0909i0IoXFfQxc9LpTKwB4rMI8S
xDNsORiqiAXUTTh7S2AHgFgX6hnB8BLnGa4daW5zxFMyrElYuJtjRGgHp7m3CacK2eQXkFzWhNZt
rhrvBpZbu5EKA0tpVK9ZEvVPqsEUUbRhdkpTQ2xlBfwC2rxxlZBzcNXo6i1BmrhC2ZueyI0gpDhX
+Y0Ey+d3GR4Jcr5nqIJWQf9YCWcHlm95ztzMvet1VV4VXKZ8lKUFQ1eqcTx2A6MNnCnQsH6Q6oYm
umUOUkMaGpd7LPGYECIhitsuGZNPEbjNPYcONLuyUN9EKZiHUBpFPHo83FaMAdH442RnNtJ6Bn5t
wvFxw8+5l3yXZml9FfQid72ISkIOXuysua6LNr6KJeMTP23K/mxCbryBoTHi9Fjs9FYSiebDHg/f
IgB+FLbD/NjxAw49bGr0xdlZfDmYcNDc+raam7PZUGXHLoqhC8Ezrdv5tihXdlMEksXHUvgGPxXy
cdrCjfNy9XJB5eVh0r0vY4+8lAqmQOSxnEcP0R9mZm4NbbTlouotQBMLTDWZ2fbLqC90IeBZxQMu
RtsP43p+L02sc/5o6hAUqZPGbchp7SdJoR8LxrXAjMP8Ta9mOrER/tsRevB8O/WFcgGIJjo2O5vN
gbDLT11lqKdlrNovjoRaGtQga+9qgBvHAtn5PNZNx2Cnpe4m/cfpobYaWK4iZ9k7dvoEUc55Blqq
PqWtAsEr4ya7xeKpiR24nYLT0dPmq1iZLo+xlMcJPOPNENKQbxBJZjdwC1vFe5ydGcDaJU4e6tiT
KNgaQ/u0NTp61iQTJxhUYMLb3N4x+Js4p7QyQAApqf06bpt806Kt3hoL4Opdi+sMe3grCvYnptri
U5oI92vr2IrcQKrUxk9N2T9U0E8Ppk0/uuHvjgHPUk6p32a9yNMjtWX33VZNd06dXNxEjE400IZi
xe3ysRy5CE5mqmq5ye18b6gWSx8rJxxyHekRW2m3xq5dHGtv2R17ImbxMTfl0UyFSjblrDfv0ZgX
gYkn69g3aOu1yiHO6kZ9jx6AlLr0xNzAbQSh0y5fPegdzo1bTtNXr/KKp8IrU8ZyXfTFMcrp4I1J
CqKDd6Q/t6Z2m+Qu71ly3EM651Y14mzpZf3SoqA/eaUUt16hu90enHmKLQsVsfbDvDVfNcMhMb2d
6eyABLcFqX20zRws/UuZ1+LWLEpGGrk+DlsdLDuq90wmu5i0kfLfkFcx3JFwe6kR/9WFMQEhHlYe
BLu/robvq+JPK+D/fu9PFVL/wPzYReOTlBikLv+n7JXigyCbZsVyOGiUl6/8pkLKD4bu2rDbmH+v
X/tl0G190KmiMRKZtku+ERXxP/ASkU/3BxVSUm9YuomLxWPi/r8G3f28mNWKzg3qqR93jp3rvKuX
8ToBTrppVu1G5EyXO/iJDGicimKuSPboUVrJSNVM3jUb0mPvcTtGOUoQYyzh0/XB3rNql8EpjWkn
MNLWbuncA9MZgiRbapCE8V20SktOFjmBUSCI0Z0pOnEbSSOO2IMyL3rUXEdtGEgT9u5hmbKh3eLa
c/ttrEng4J3GZtf16CUx7a774oXV8CzaPPk88GbepImr38M9BuNc1kmTHLqkc97sVINDpsWROkrS
UP0h18Vrpyr7YwWGcKsa7TrpO3tF/8r2kbF3OV9JucgHZQ4t9XeBQ5vpPsVQ2eMlhOHG5eYWd1Xc
dA81jfp+gkB5LNo6PKrWqA9Slei5aiqZwDTkKexFDM5pQ5XXfZ0yd4HvRPF0xQuW5+iEnDhgj7xF
+a4V2TeVmcg9k0B72+sjo2U8x7tCpcwlSYVANNTgREY26C9HGfmNYdXyiuJU8zujejdgN3PPhFy9
m7DX3LskDlWzQSizG642OHleo2sZQcGw3KUdMR71Uhj4tgsvFxRkj2oVU+sdE6GPRy+cd56RicNK
vWwB7+fzOa/ALlslsP4N6KviK2ixJ6RX7uDZbXC+qqW/LzV6lawoVFBRl0NxdWe/d9zlbpQ8K6QM
OnM+Gb5HK4GfdxjVTpG8cT106QZWfXUbeVrzjC9s3BSInb5ZOOXWaUBbLaUL0chlQHwzRqN5LJRW
3AM3Wz4h5DKvJdtir6dlvtHdsv6uYUhnHDeNOAkyN7rKSoepjcjS5Q5ve3YyDOUcwMZdaQSlPHia
88jZ6NIhePd8vnUyPEqqCD0p9zCpus3khf2NbcfWPfKvdz923I9JAQc4UtlJWa3xDSWPK6f2YH2l
0Yhhs+u4ZjjpfTGG97mYw2C9ud6XRQI5XxomveOIpTqK41c4gLdMSONjhllsT3bh8FAZ9hMxqdQu
A+ookbbXkpKTMZ/xJcUyjR8FSb+2tfsRd9gXZnomwCzl+J6dLXsQXEGpj+aN3nb6N3zy8Q0FXrlO
prEIKoh6T5Zq6k3LEkWg7LZ4HkLH3pmTPnyuDKc6u9jHrrMCqWupmRMiSWrqjiMAMypfPpTJGvtR
heawi2fDu8MG7EEpS8RHs9GjVYd6YwacPNphyzkwOyOYYS2Hc8Xm46O7qsL//ovHXv2h62rRX987
H9/j5i/El/9898+bx+SmYFJFaAPYp4tA8lNw4eaBU8DRZpL4RLL1ioP47eax8VGhwbiGY5tEsq+J
yb8JLtYHl4BZc92l+zk1+wc3D9kR/+vm4bnqhNLCq+Jj/8eN4qLockNMmQoiUZi3AMzEKdXS/s3u
Zt6zbi6Xb5rW7nAWyMCtzO6N+Ab9FNdhd5pl2H+JRROfGYG1HS2BsM+0kEQkGFkAEy/zjTmBSx/2
lp8Y9jmyWw5/s9vCz97VItqLqnt3W2OGu2wcmBaIoBuTWxZySxCA+pXlRvF7Ku37BojcYZ7X6EVI
4YirLf4QmbC+sHHHKb9TLK2QmQcHubcwqZTmuSw8za/GhbFWrUpMrblWbczYYqNF6z/PTfmW29G8
X30HWO3HAZ+Uh9VjHqn+FkfLT7Nrn+Mkqr7btSH3wwLqdBBe8TXr7CUQjWcFnVdmQclI5vPc08aZ
4LLPKp7Y2YqpVYEMf8wpB6/H3NA/V6ESL3Oe6A2/D2T1BD76MXZYmgQ+XTEtKMeouBn7pfza9gWN
jdbyc7GZkjjACF0FrRbtNXuMDJ8aYpS7oqDnyWNX7hstZxMBZw3EZZJ6dkpF7eKT0cHhYE4mNpMq
6rsre0hwJeTlyOAldt56M2NU4Fp7mcP91OOFJcyZ9g2u+sSzDC2dw7Nxs2IXRV5x5+bZdNtYIt6R
QF0d2ehotwwBs607FdWh5mFe0rAP2aXQojcv7c1Ps5wJMCop1HsX/HSZo5MkeeQcRFlM7IBIoh3i
zMHUwf+6Kia+wpkuA3CbJQs96RJAPi433CLttSm77lB6XnsYcX1/d+Q9SZAuOy+RW80+Ln2Y5KQR
2YOj3aaaNEWQeFH/vc2x9EpuKozX/hJ+YjGrxH1yZvxW3vPPGH5QAAuCAt6MxrHvU73SdUDZpnvC
Y4N3iKvSLOTwHhX1+G4z3d2bRCC8sehk0xHzhmIqBoyzs5LHiJ271QqncxHGmKqbjaOnmT/U9nAs
arSYaN90d9X7UJ0XrLRWf1Pi76njaNtWm6wxuitNFsuLak5kMY4sQh+SmBfC6OPCR29412D3TkM0
badEmjeTiNTZ8sr2DpfRRPfkEmKWuimvBq84JOg5FfcQYuuvRmsDVG8z1+DGTdSRlLm88Q1PjfcW
sqbhA8Yl0skwXxs7sQNl1sm9Mbe9PPG+d1HxS412zClr8XFMYHiy6FuGG8aqL9PsZk/t7Li+zoYG
kPUUTSfB3OZsXJ0op5xArsBSEZNeK5xfod918c70GtCZs2BYZUauASc7geXcj3PubetQRkiiLLoB
u+/sfWuLJ9VJQcwEXmJVx4ep7xaw0GG7rYzM3GoNxZlapmJTokRda2TBHtifXG4qT62lxFGzWN7s
h89WF2tPrT29seTj4NGGKSt10gRmJEyNhKBC9dC5O/ZfJtcM5lCMPmDcx4X94Bqi6sEDgceDZGa5
rdrZ9A2NzAUtnbwA8zllml1Tpqh0r0dAZ2t9XAI2Gd+KqfsUoQRdR60kp2Wwxo9CtDKoKywxMMeh
1xNSQ15P0ga4Qdsv0tVEkInU+ObiPJKHeMjakxzGtltRxJhaoKJ3N0RP4ouLIq2gCmI6/tyGa1SP
Heb51WwYZdBVMn6yzFm+NtlSfDSGxj5iz3b2plTzw1BxnmzYy3K+A9DExGOkac+vh9UP5cNh/ohe
ZN2ZHAXwS9N2m8RduGwLI7fe2iYcnoyuTt8NjpRD1IXjHoKp9SkOrRXGWhKuSEyFP7RsavZU6Ki3
cEUTE+B7bKJYJktxTgyjRmNET9W9qaC0kbP2lUXJ6DMBh+PGNAvDl3km7mIw+aduSdNbb62Zq0zh
k9MvpfTUN+/1Wl3ra51trxX3fCm++7UON9aKPF9rc0ujSu/Wer0aO4S7tYZ31mp+vBT2yaXIjy8F
/7zW/uOlDXDWjmC5NAfOpVGo1p7BurQP1dpJAMUIj5Tz1dF2i2Vfrh3HaFd38dqDFGs3Uq99SX1p
UapLu7KGdTyMlyamXPuZ+EdrQ5Pz76+3fjbrVCZ/XXB9fl2+/V2nzzf/rLfsDza7mPA31/Vwqhq8
8j8GXOA315BEjD6GwahtBWn+p94yP5iugc1Idxz+62JS+llvGbiU1n+ZVFQH4BN13D/q9NdR2a8b
7HiZ1qkHvyK+e+SNPzKykrRP0A5D5iR6WjeHiXAfzl/UuReXIfXafiPb+k3SUPaktkVsnZMT9LYQ
WMTRodez5scEj3zMsKAHTsQHe+t5uaMfWl0sYKCtudz1iajJ2TO8ybuBDQuMO9Mx6V1rtrtot7pM
bXeXYJ3dlr2NvyCTXV344WTH4c6ubR4doydbS4OYHsNoNheE27iEsu2YhE+k1b4a4Nh/HzDXJnc2
QaECE52ojrM9Gs2eGyN0PhO86tTFtqsqFsrxu+N1siDIj9xMC4D7uXUaT98Iz47CTcP+yVXlrde4
2RRMwU2lxUmAFyC7dxpFrWhg4Xy1psHoAE6H4go2uCyCVtQulPYsx57Y6hVRQJJNfLrREWd7TjHF
rkCeQU/PqmbwF0+viE7ARwsPXaO7Skby/ThppvE45Jrhx6rqzY/Qx81km6YMz7/DvK7ZUR1kvsJR
LeuZ80T0gKZlW/kxM9YnhA5pPKdStuNDFi4ey2Ae+W9eJpwqsAn5eQhReacNuwCQhDedqdWlxk3s
tek3MdbTvsx7ZNZ2NSuleh3nJ0sOYXdgvSnHz8TiqR5g8JrSgP/geeqMKLojdWpNUNPqdmsX3bBb
cNvqPl3IgLKiRwdNYqTK+8kVO4j0FBto4ulGv7iumi6OsWBprsa94DN6YxTiYGnGLztoqYtkbpdY
uAgmqvf0vTi7GuVAxlHsZ6ttSflQs87ZaY+K8Kvr8eIOG8qIAJ3VMqZlWvHedNqQAQFfPWXIs/jL
xovXLL74zrhq8aCxn772FE5zYyMv0AyrKbp3L8617OJiay+ONqI0cLelq9FNhqP9VPCp1160dpxk
EGuixmN1cchpLFfLY+QKEq5Mo+4fk3KG9Cxw7eC/rokUgQXOlpqv90zlgmams1+cLP3Mn1PtvKnG
QoaZLCbwye5xmJRcMPmaZ2SgAYm8uC1ZJTaDsQPNcE0+EWZ93glg7jchBmg6n5Z6ahXwKOmUxB2k
k9jknSr2Z6xnjCoUCTJaEAlM3mk3C1xvcR3zxhNrnFZ4N4S1+cIQsc53YSRKphGpZd/jUVNblh26
bSoz86bqnOTFijr73C52eJWxmnjL4FnyNPOCeXPSLCNJStFAFtuSD157bmot3Y9MloqdBYE7iIll
8T7V5lw9sBJoiW2E3zc72uHEgKnIsGIG//7LyCYdWOp/exed4n55b7u/6v9/+wE/7yO2WC0celgu
bMP2LjCWn4YL5wPB1LZJDiFjcERp5OXf+n/jA/NW7iGSii3MhKs19r/3EegeU6yrrTTtXHD/5D76
g+5Mf2lbOh5cDgcPcKxjclv9go4dipa4l9iekYiKcUe2ybdkbKbdkkf2i1536kxw4fh/BI3/6WPq
q4ZhG9zE9h8ct1LLpqnCT0nuCkcibK76nXzf6EVTmXbOavVgk271//KY2BdNXVoYTi8qyC/PU/Yd
VA/Lm7c0JHG2wTdu3tpiSnajPaxr6uWUP+KurO5/qVF+Lg3/ivH6w2V/eXktA6w3VQWrdOb6Uvzy
sOPcLnAcqnkrxzo7maJOT7azGDtRm+OzwL23/8eP57HX7FpYpAmMZ/3ud4/XErjoLtQI28aMTrQP
vjvE8bmxo+RoCmP8oe39Zbb1n/wh2X3W2ZDHrMPrukpLvzy7piWaMWF6tRXE2RHFON8CN7hJCrJs
7VIeTDd+/Punt/7AX8xB68vJp8Kz2Aenv78UcL8+IA7tiKhcdlkQk57aIfWuGMgW/8dr+GcPYkOp
4hOm65R9f3hWhjZ5lt02MxZMvaQ9H6uZpEiAM8e/fzL6H5znPBtub8cRLKWjv5l//OzVmaoF8D3e
HDlZ1TAIkCva1Eq+ys7sr7FqsRfFRNnRWL+bEm5UKP+kimmYv4OsSfqRQF6LGms00vi75PpWPutG
JppFX1o4BlJlFk+TWRTG9u9/c+OCc/r9H8LlTMLxZfEMPNf9w/uai4UJvFmOW4YNzu9zNlC7Km4T
mXgLngoNv7shwzmG3UCCjs8UtDDxChS8poLkKHLRsde6vg2bxN1Hk2VKhMiJkRI2MfujW8a1PFKp
jG+/5nM4ZmuhfBO4HfrImsZjos2zgKoRpdM2DYvu/GtqBzuYuKyaDCsxkX1R+1LWhcFDXgI83MSJ
bkoWAFuc2IPxmAmKX1gfFstfcax1xKeWuYVdiBPZd1qTQQlhQTsHPstWDSpivcTsneBH3sdIHBgt
cB+Tcs07lXDo0ppdmE88yidKBxXyKZlK3feMmNjnqG6McacThfmSrSsuRBWDLmq3c9G5Ofn0bOxs
HU0233Jw0A19PQOl6yi3w2aDJ9VmPhbX0XJdKp0kbbeqw9cCfaXY5thjs8eqJFTiMBvUz7cGISrk
t5EoRwlUazqmMWBZeLBZssxZ+woLddLbgSiPqE5qAsFHNuk2qquH4hhrGHDZXPJ6ol+ztmLCD+2I
OdUMqGtLSojM71ny6patETFdCjKzEpj/a2v50szysV9arAEYsxsdoXVunuZi9Ni0CtdHjmIq4s0Q
CYP9T0aQe1wk3ZkcgmJNBS/saS+UFFHQlaOdnzHOTUz1zJItIRKMo4F00RouEVAd5pSTMqZhO0q3
TgIR26zdLmWfTScjtvRvOtmJ7cEcGr6V3I41584Q8gZaWPeWtIIFVkH8lrxJJ4ZkzO2xv4nrpSTW
/jjIon+ToWW/Rk3VFtRZJN0eeZRabWJy6fOPbKnIDm3Vy7utTffR0SBZ/UH1OEdOY9q129hIFhu/
PHHzh9pu6XnsUKLbQW3QkqBg6NlhxL0njbQja3gx+maTxZH8jufOuZ5JPWENr7eYtM2RNbGwW6zh
krpbW0TVWcQTYsoSLa4SJHLSrFD7Mn40iUAbVknndxnr+niNZOM9jqVXlCchcz1nsdjMJxYckC+2
bUd48HEYZkmjkI+5eAijiqawtp3pVU75/EZgH+87hfb5RG3t1Rs2TsgsqWTDKkRbp42x1VyPGKy4
i/A82Dxljk3XNV61WrJfXVctkp3KM1Ke44UgsMWaiJvU6yb8TBiU+Ur0l+P5aVaEX9qx7qPdnBRO
FEgsFBB0VOHdRa2rF36L819uXILSoCVElgkoKukIUQGPK60gLHVMnLmlumuEssF5pl81SD/+8yQj
VfIxd9gLggvxa5yRN0eEPeUewzP/d6FGhE/P+lVekSfm/4g2Ui7+FT/RvTLcpj8CjqRp99U+weRa
/38LOLqc6P9qewiFOhEqfzulO703xV9X6T+++2eVDtOAKoYr3+N2/0GU+akaWR/wSpjC8QwK1hVt
8N8qHVMJ5YhkgUw4EjWH6vm3Kt3+gH95ZSR4FsISUs8/qdIBZf++8oFmwyzIYlXOEo5OpcUv8Wvl
45pZ07tDngWU8V2L07OpvkQzuCVsGK586JWDUcDuZLozQfOFPnFF6giYT3sZYr2/yVqu3E0v4/GT
E1oOcWZ1eGAC3gdRsm7IGpOVfiyrFrO1OZENa3bZ4judnd8QUEl6V4iBtkli5zWGVnrbNC3DnJoa
1C/biK+IIn8Oq4z2We8L+5Gav73CTWiDHWm/zS5kLr4QWs8K5A0UGOaJZEdyWcaHAlbU575xJvT0
JMdcp7zwEFXjpzQvWfl0lDgYInbOBhJ6thVLg584FrhPdHZaPic2JyPiSZLqmxr62z7vyWPaYtqB
czYY5NThYcPqJ/t95iA1l0YWnkf6v9Pi6NNzF6XpA5vY9Oldx0a5PcVfJm8s9ykZ31fTCDzHp0c3
20CQBfpesnaSgR/ASMfaTs9soE/HhkBM030YUi6ou6KIiS2HxvYttYjYNEyn2/XgxDYst0zPvLqw
+grdq3ZJlrXnvpnG1xb2C7HZSrmsxHCqfCpnm708Ibr0ywzqONyK3Ctn4lwHEhsZNxmPGobG26SG
tLPtNZCQV7xhcrFjlXIaD5LDvvXdEHzYNrOLYTw32bzAilhy9nJmt4Mx0ypypa7GaPKuuQfYAtJZ
kWXEGM5oSXkC/ayew9ext/EQNfV0GppcjmQXyuLgSN4YjaWnWEqZeOd48ligJLpQsKdT9F6yL0nY
rTm7yYQdFxHdOZMuXnL+T4hkXjz7UzyUt2acrsmTQ5yBjl65iLO2oPtlcQs9MjfTPfst9aaaY2YB
Q5gWVxPds7dLDWM643fmlQDpp9iCE1DUnFimQY6ad2dX4MEiOjo9qFqVBYWXs/LEVPNQxXg1LJ0d
TbblhnVPb6xeVDl9a/jg7TTdU8ywLUVScdg/ohk+piHvdiL/8Gsu6yYBwfVafohUOnxyiLGPv6aT
FNZVPk3ZLVHFQ9mCWfIwB3P1A5L00FLZAKC6bzZAkvTh3AonemjKQrYnE8Bbe19yzwdh7Nb68xyS
tHrGlxnmO9K94uZhHK1ovl+t8PNNwWbtZ0aqVEWbnlk+SzWEn7Juv1rP5yystZ3kDTXfAua07sKS
DbTGHTyr2ruy5rrulTDztygXXRWURVhkN+lFD71IozEx5QvLZ73TBw0GdfTTZBqqIIEqdcgSTNyb
qkphK42r7iovEqy5qrGMjoS+G2yweThroyRYqgXfPTuFqx0qGrsrVwAQ2bCGT8giDSEApW01VsgM
QjG8DghjG1rfgCxEDyOwNjufuTb1Zh82bXV0LrLyeJGYYT9O7ffQdsv95JiP+UWM9i7C9MzK+WN9
kasxMaWY4VcRO70I2iBJELfnLCWmLwQztnPccNJuBQV3ey0usnh7kci7i1xurMp5cxHR3Yugbl/E
dZF3ThCtivscDZPmzxch3gStdMsiLfI8jjakenTsGaE7rVYeg6GMeqtX6B+btkicr6ggcbHFA9+1
G1Ok7BTC10yIsdSsscQAa8ShX8iJT2Kv9SI7oj4XZCLH5KFvasIFA0b+aIop8cHwbM+NakLG6HJr
qGXeq5LUw4Fs4WtK8a7cIuat4AhzOlqESbN5LKx531nyi8u2f7pF3Sb+OQqb5KiUnEN2vQj/22YT
6dRumvOBAreIUagHvfpZZSls3LmZyaO2HewFmxAf18MaMTduJGBMA+LZ7OUBNoBu12lOSIx2aIgT
rU2+BRUeaZskSTvGGrOnjviT5bWRTOrVccvqhUtn+rSkUxNkfOIyjw3ThUPxIWsX7cuU2u0xp5cD
YpCob7lhkbieTGZ9ynDKwiCx3OKpGuOveTSV+2bJ41M7FzmR3guR4Y77qbP1Yq8STS0bg91bCkeH
NUpcXwBc+bJhD4oe39JwiOc/CK8r7LUpivounNGLArJznQN91hD79hoisCH6sBK7ro/nV46XeA46
yVOXYzSf4Hw11xngrxoypXHPIlLs7chQbzq6KGU923pO2KVeh8xczPRTSLkNxgeuw0FR1GJH5qzb
aNLjTLPFQ6EveoglS3UHo6oq3ko6S0iqEA2Yj364h53GJg/vkkAkwFJE5trBhEX8uZ81le8aAmej
a1mlciQctAWx/QOda0smtXqjvpS2Wmx2ai6M3UytwF0vj8QRFw+B4mMaqQN8XXXPZ7k/tFYrbAYC
St8PljlcYQ2B4ItTZT6mhBtuKoK+faTv0ieTd9oS45ttpjI1PlVh5p6tLJt4pDrlfYbMKC23fAIg
1wTwShugFOo+4/340GDmvyPcEjztYsQnIiDtG3PlCg+svtDkN119HvA4hgQ25liBUqFpB9xMy9cm
GjxjIy6EYt1Il8dYGf2+WuHF3WA1VwLfabxFFBwCDz//Bud3/ZWMVjYLRF6z3Duw0+/otXmNPbPf
9LierrS4qcihlKO6JTy02lvRao53LvhkM4x013f53qt0WUK5K5PZOqm0198xQNiPzIeHHXqYOoOO
z3y2l8ohwFH0ueswAvLEmFA4qWi2Xh433rUTsRXc6fX4MF1gzklrZa0fsQx8SKgyNt6F+awlK/9Z
m+PpGdEDL4e6wKHJIa/UC0EMd/+8Hfh38tNQ21zMeAJTHdW0johOJf3XU+cfDUQbv8Z/Onv+05/2
o6EArAaFhwYAXfRH3/DbGNqS5Dki2DAOMJGGf7dnieHcZXTt0E0wJ0bh/09DYZofgE0SMob2CRVD
5/f+B7Y/60/Iar9/Gf4g/GvRLDnMzHk7wa8g3HthETkRfXKaYiefWVwgnR5dqccnBRe4pT474rEx
ztiU96hTTu6rWSuCCCrFcaTRBj7ZFsMJQFebbpE+9W+2y3ASARr4JCcfi/vwIE2Gck3aYzSu0vCs
qxVf0MML22VcJr2fldK8o1/AtDGK3Ar31moxDkeRoRa6Snm3aV1n8U1sdZMNi7FLimOZwDPcuFz2
9g6ce3miIyvIlKcKaW1oXjgau8AaB/lQqLI1AxQykFB5pJeZ76lFvIxOJKSfEwbimwzu8c8R10wU
ASY8d2Q6CPOj+pKaZfEM9XdwOECm4mYG5sbyu15ybIfWmirbFiU2vlixoQihCUxA1GT6jqzgZZ/0
83gv8oqFFIABOU6iVLG2WMTRcMCkJQ5mntITCDu6i1OOY2S5LH/zFulo27ys31hyqU6iGtUhiivj
fqoi7xn/eLJRdnk1986jpO3ZCNksG8o+K9y1dUe9NLiaxYGD28YlFuWM5Se+nvQIzhzhEI3aiMqD
RoaTm+VsJ+ycs60DmNOTNh+Pbj6pXZjwFFbmAvsEzGG/hbnXvUaujPQts8k+pRjQ+ue6YkbAglk8
98DQB4Bk3MJ0o3mSr2ue9Zy9x/Dw35yxuoId4vhZZkmWyRPxVWVjGAgXN3Y7peKFTSmA7JjP2+8i
IUp+AxkdPapY6AIlPufW19Iqoh0tp3tZ6zulwQrNBPZBlt/Tjwnsu4c0Fua40aGLB04mEYU1QSMw
tY04tPMyvodmKR+NecCJz0A8S3xvANkRpPxRsbmxP3GE4FceE5Uk2AZ69/PS0inOmeS5JGPt3ENu
1q9W+hGLk67HYJkYZox+Vt3iu8h17zqpvYPIW6cLZv7dV2/Sx/0iBnDeU50yesc2ljrBRGrxzovM
5ktiK1Ld8zp0vnpmOr5ggxDMoQ0LmwI66BUatNjVM9RurFpGfwhZ2dt4SfrNqVngyJtohaT/D3dn
tuQ2kmXbX7k/gDLMwytBcAzGHIoIvcBikDAPDjgcw9ffBWZWd3ZZd12rfrv1qlRKVJB0HN9n77VN
YRHt6K0LL6EXYF2C7jXzUuPOIiEchzzOjGj0PPtSlzXxZjPXvqvR9X77mZoYWHGA30GGSO8C/IK3
DuEsY+cJFyvVnCbcteADYKtYXZxtdbs42rRXSvseXOMWAzOOAJNM19ZoE/00wWXbj0Qt99Dei4NM
zY6nJdhARELk3z0mjmpPczSux86d5Xymf4/vUGbLL+JoLpcdK86hSIwg0GC1sarzh3TF6rXcRFjY
TPs+GEi9NqPhnzKCth1Q9k7bTkk1P2aTJ5CehzQZ0POMICycgW/T1MW4TInf791eyXdvKOVnrk34
LOfJYYqoXMye43xnIjLG54roXDTk05RuRkdrrD38P+urn0uRR0MxCGg0EHAkXlIOiQJN1PPq/uAL
rUQfT+NsO+HdIGrXMkob1KJvUg78k2EucleCsLOBlncem4iRKQ2N0XPPUno5+KFiuHfaRV0gc49M
AEWTYljGnGLJRDwCJxovlCZZ5DthwHFBQVy0dUCJOXb++xoCJQn2pD4kMIA2o1e+cE6h9pvG4B6u
l2krCLPphiN2G1Td3nTwaMQZ3gMPD6BvdiehMjIC8z5fhq2S2davqt2kMlh580Zk6OCmod+TLZVb
AJvTW61MT2yYPJmIcQLlm8m0qncxG4bgyl5NK57SgbjHjL9EM6vVDTtf6SOoeKA5FjiXfFn0yFYu
v7SAVBxdf++apbo0c5y9ACqfnmN3rr1Nk2XZxY5z997XBpjES4y1m8yvDgxJLmGDJzeSonnUKUk4
V35MhKfxkVDSWVG8kZoXTfcEsBy9K+9avjgHfeENdDRjOPVct3Zz6erPQ+K/ehDvd1z1AJY0AX9v
all30ojjTZ2mOucndP/cBmSWuCd7XLtj2gIjUz5sMTPqR6Po3Oh6fZsxj74bZU7IJqOL6o7lEkAh
JmrC1ENiP7kzL9QbUj6PgV9+OFJ/qB1DUqrRtgKcuFNfMr6m+AchXZLyCLqdCTeIeHVj0PhUTbp9
iV3ZE3DPhU47Q9oX3LMzuC0uTVTcVdRN0UIjMDqtuTeALLBrS3WQ5QRrZ/zmr+goNktopW68djQ4
92b2TamRHXViuwfN8otQLHaUayTjpeX8tBqknnrdsc210g/GoAIYhtSV4yEpM3xWSAAZjCm6TU6Q
4t1Hh06vM4YS7UcFH7HcTKwCj4Edu7uK78zdsmQK7nHPApyIJgaof31+/f8NAwL8HKfAP6WuHT6q
j+//Uc/+83//c/yE2OGRLfHopV0XtCbL5/9wnfDLhB19rkcrofcverZDPzkhEARrB/EO+8l/jp/2
37BWMdBCAPGgbdrevzJ+mtdu3L8skFe/iwM3xLCYc3kRxj9gPuJcmjhwfR8Pd+FkRGAbeSCT3kZe
hYjNEf4+aMbGhBI5RlUDtopxc/GPDT6bH1Ple8thgN33gMkr/XKRz2aCGGZ5ygxT3rXofzuKLfZl
lbe3kvqPN8co1jh63+uvWszVDEyXf3JlrO/KvLDfGJSS+w5O2m5BZ7ug+o2/0FL0n71kAPRnd88P
i3mEMTe5LTGvYAQk4RYoKktQFBZAUDy3jEteC5NnpL+qo1U+3AU+wbqi7oqXZmLwoaAE2oft/DaF
gL+kEavIjeFjhKeBF84hBhNU3C63TH7Nd2YAKdnqfbCEmYu5fL0TMtM0C6bnIvbJNou8htPrVlHl
B1q1YiqLcdsHeBsjZt7iSfmqfsB23V36kZ/VWrH1lnMQeyHJcfmRV5p/6qVG5C3wAGNsDXvwD74r
/DNigBNBk6MIrTKJGDazqB8se75thMQRHjiNQujVlX2eNRJqCbnqiIv6E7F0wjEZTukfEmeTsaMR
Nhg24NE491FTyBF2MrnEwjYfPNBK+nq9TR7rWOJcC+xU3Qweg+QhT8QYbLq6GsqtFjCQsaKeeUxx
AW+NSEsDhMOZRM6vQRq58SoARU7bwAQmGfJ6XH3jdi4HVpMk8qc/mpTW+LGRgaRth2iYAsKNxOG3
AaQmKjtkIwJ0zL4/JykDYiG8FRSQyebVUAtL4Gnx5TPmRrM84h5cWw1tqyLQwRgabBqrNNxtl7vF
48ii+5DNWZnuHa+3H4C4L/cFCfd5X9ia3eFtja13T8XFRvBS0QOUsjfKmafHpRn9g0PiKo58PCHQ
a5xkAr0M//5pSnuGzDZ3mtuJzcBXb6dlGCSKjFFZFu5xxFh+GhKvOQrVVC5KmLVnLJgeBidzP+zU
mB56bU4+rFmamzxmlwr9lQX9SGYEv202iWg22JpvmI0yttCLkeypTOlIdVh8E9NSQj9AyfXf83Um
boKuPvJOlsfsOjL71/EZoh+jdCU18qfckeynbp21p3G2UMG8nLJAe52nJkMUz/DD0+NgmnFETaO4
z7vS+GFfp/vKSXVAo+vM71sLG1i1XgV82p+c0HGIn2zo1HIPneQywnUzWU5cXeRvhfr9a+qHJgnN
dg3MigL6dEgxgnocSZXWG1eZnRkNjmZTtKJbw8Wb6fSKYJz7PyytrRRcIcPRdlPGpWzbIZO+e9WY
0wBUpcZ8KNyFmhir6vkAL9RKHoN8Mm6CluAER1Trn7XaBTMnJsqjmoldFnDTSbO2sm6tizCxEBtW
o7hOBq5X8BQ0yRshkP7hxvo33+HSsbI+HP5nCWb30fX/rfjCA/OP//fPDe768CL9hanK46lir8vY
Pze4Og5+C58STY9X4CgPm7/7LA0smIELQdH3bNaCfxFcTO9vOlFOJCJ+Bwh60pn/guDi2P9gBdQx
yBE64LWtD3r2xf9gKysztmlIfOZ2QJv8yEh+Mn8HxA9Dbs7vlVX4z30wefrGQwoF3TJSSMnDqL3V
lANVw/Nii6qn3AUl2TjBu+PjrtYsI/jNwz/96Svfhn+iSkm3QoHWEFZCt3Yppotzq1Io7aiN6AdU
VVDg01q3K3b/k+oQ9IwFOqCLyottQve/66I6EKJ41urkfh6h+YwLnue4q+qDPeGan7vilNjuy7Qe
0ZaFeTsuTAurh77OcY675pQFv7kWudq1wyQ9lhqKmi8ngxqyAQBmh8lSrC0kXap+9u5SNfdxsiRH
j7MbypWfMGIbHSlya8a0pGvu9E0Mvb7rgo6Fl+2pfOfIpbkVGEq+JseE71WX93ZbNd9BbYk6bGYU
BYfDGmNnkA1PZhY8pbIs977P76mzpmJ+r7V6V1RrRlKPOUJMk+NosF3yCRmFZ33lL1EOSX03+Fby
NM4LGNXiXC1wazzfue+Jhj5V9lLRWGZqj0Fbls/2mgK3UgdzE50X7BjjOEvD2RzYS3GAojrRvbK8
mB2QQf6dyn7VHVE+l63UzxpcRMTe2fS3RVtq08aeEJzzjkgrFTLdJxes7h54/J2Bg2nYFENbkAl3
P9Bb8m1RNJ9aoA+XphsnPDq50FhwEqrYCD0HnzbPJcc9d+Ka/cSNBIHTUgR279UYhCCUFjcgnYu7
BAb4euMqt7Zw5zQM7Fx8rcOiz4oVUWyTLF7ihBLyrQwDoFIPwqpBxxCt5aZbrvsj7bpKwgHPWqnR
Fkyn12WTXnpBvh1YQcUdBi7nupYaRzZU9GzC42TUqrc5bb83Yt1lxbZVHzpVbfkIxQePhVeKiYF1
Ezswt5mTyL0uxorrkszU+SIc46EbZqSs6yLtulTzrws2+7psQzZfF2/XJZy87uOuqzlP9YbY9rlV
FNyc1/XdeM3eBNccjtDN5XW+pnNY4DTdob4a5L2rWT69Guerq4m+u/rpEzkGb87qskfawHCP6S3f
61cbvrha8vOrPd/4w6r/h23fhJPTt/awt5fy0oyZe9uuHv9sdfsbq+9/oT9lm6xZgKGnE2/XXCMC
jlLtB1Cm6rakVksHebnGCew1WeAma8ggvQYO2mv4wLwGEbprKKFlS1NuijWrQGcysQVoSGuGYbgG
GqZruKG5Bh3mNfNA0QLxBwhhRCGcayxCXCMS8TUuMfgohJo15+9wftOP1ii9Nhq0lNEotbjbbkgc
MXPn1yCGbYrhiXeNeEbSr1EN4w++sbjCjhM7wJ0SXCHI4LqgJ8xexoaY4DbSV2Pjw0XG7VNUWK9i
Ci8WW33g9UR1W1HLegt02a9Zlmk8gyF8q7Sznme/bUgPDUDyykJj35ROykEOySErXcHOIwoGkGef
IiGE3Fi8GnWAnFBofA8iRnL1MpucN4otb3LyLaGe+6RVjzASDLWBnTwHqLltewmWurqwj5mP7gCo
kH0Y/QnIMINLENIriieHZfFNYEoARP08XBfDC8EjfryhEQiH9qW2iu0t7+o8h35qp+6hNgnHhnBB
Bxa9cd/mR5h2dUR7IRbJxulv2C1pHp7WhHHcDVSRHqc0s9Bx1ZQdfB2bZR/b6MGGqKsDHdiciozb
VG/0y8CUolNj9NsS5fRDN+dvz23GmxILC90+gDZIE50zJN0xaU8is3/Prb3cu0zdfFOF3BgLM6TI
NP3UWvotDV55aEhrtzRqfCiQAx+geCUhWo/1BgSDWNWa0oti2qc+nNjBmMNFa6RkVZqEiPwGI1HJ
6ZM1fN1SI9GIB8slNbZ93XlfJXeac5HqxZuZFyVZVbtQYawIO093AHitg9nGDyMr+Q2oW/8oy85g
lkedhfSFoNzEZrSo7p43WtvGgfOkcu936b1dKSBQltQ7m14KDClrfCDsy5xddL259o8nqPCmZehM
mCyNeyLi27zx9J/AVLWzxLZKDR1vwbmEn3LOaypehWGcbSWqC3gEZmEFnk7fs6yYtgC0DbkdakpC
0Lwa92UwICPERZDTNWWYiDMLTwC/F1m2N+MOQcp0gl8q4QduyBEPlQXsoKWg0lTusrOsBIJJh+20
qYxip8XGELZk2qLYGfptHfvO7xElnEvj3B7Gqv1ovCZAzLWO7oQi2lvOKYZx+eLRABoOBnTLfu5h
RMf5rp+0N+lBvrTXbvIdy/r8qbCyRt/yD7TYtLQnTviNWD41NB0X2l8/w5ykQvSjKhu33+Rq4JNu
c4XcBt40s2y1RXYbdwNpdw71h5jWyN9gM3E8VUUyst7P8pu5sBsQedxgcdiwJYr7lWJjTzrbU9ms
ZYkBru1tP6nvTBEdWyxuUD7OlAmPuK2OaWlWYgviEQ8uT6JluaGKssp3BexHSiliMUSj5bKEctRM
dk7zFNE9WkuEv6yEh3h57Sje/hRey2XejV2B96QsTnoDnQjFCzZloFL1NBGJeYSMdot5FnjtxPhm
CvjZ2MnoCsnEBDhu1LiYkmAZX4QBB3JRDdi0bLYqaM2lEwG9696mBId+ahX8G3W3gDsR803Nwr7B
rExVppl8WUJkGy0x8i2fRRP/Rir3RJQH8zB4XbOrg4wGC6FshFI+LEDLkltync1ro/duv2MX5H/6
dt/OG68vpiIyDOppNrXBk9Uoav9RqwBcUkqc7UEnjzyjRgf8YCp4XDVyucncdD52hS2inisQGytc
Hpier1WofFrrcM5WbDIAGootLRPzf8+N1wVODYjBeLGz+HWx+bQ4bMebMKmF/0xdYn0e+qw+tdrg
fcaZ298MPXsITq78C79dxgfU0JNkZ6MZTCWgaHLkEnUiALy+0Sdd7/YOh3b2v7gy/XvuubmyOFDL
/tnF6pUI2/8LJPwff8yfqqL3N8fEtIZyCKCXDTpy5Z+qIvogdyTdt3S8kBxa/3nFwlm7Coqky1i7
WyZ5tb+bZC0HKBshJfbZq+WWGNq/csUiBvRfTbKWY3urKdjg6WXwN9r/ICoyAcTslaW9hRJuhJU9
f9paPm+6xmoQQjJ7Ozuudu7HrH9scWXpeSzvTTihDp7FJ2JoHICdEblOesE3sOms5WeTUKpCRhkD
kG5ubLwYVFbR3HIf6Mu0z9ViP6eZgyEvtdnv5aNeLZsEuP895NGYs0ZRxGjkAeO8ptKjpU0cufWM
4XW0zl7vtt+VU9f5ofDG5LtplsULE3vOp6jLNHkB/Dplob84BVRLVjifC2u2b85NKnvnOruwEa5P
acA5QR9Xu4NwzwXRgWc6ZX16aHL2XvuEKYgayTTI7wYQiLR/Gx6CnwGxirYafoY5Bq74pcGW6G26
XtohJYTipa2S/i4zY1pV45rDN4P5y32slHdGbLV4fsgubfSqcfNtrBu5OmZebb00yi0AjNep/Tut
yumjSMfizWere7Dtoei2KUPfiAqCNsv1UC7YB6s20M9qMtTt2A6QQBgZY3ZpPs5kxrZx3qfJnPyq
loXq9Qkmr6zTp6TzPivdaG7nzqTWgVpM/PduoL1I0BQPRVPFH3grqVTP+6p40iU9EdAgcKyFk9Z0
b2IOFhxgRd2a/LJF4KImdGWyECrSNRbP5ZYoEFS5FS1NSh7KdADD6zKu6OnWpgRj12dyZaVV2KU7
WhNPWBAgNsIjcE7zleM4r0hHzKx12KYLqZTOHJJDUwJ/lKisr+MKhFyubEgeoXAiudPOh5is6Ed7
5UgOV6ZkXK18yQmA6l2nmfqLs+InU4GfExEaqYre25VQCVEvuadVqsjZpHX52V9hlrDltPd6BVym
81i9+H02ffY8KYEgVSMUnDLGviWK0YVuN37OgKvCOR30/SAsjVIKs3norixNU8zVF41H9dEGIhg1
K3TTMwqeUKphnhriMQJEYO+DmVijeaV2GgCkN1a7sjwn+uY98lEulDZQn+JK/WRhvTYKs4Mns+Gm
lBbzpkqcpe+A9YGGOu0KEBV/wET/AIuujNHCcoZHcQWPSs8FQspAy5PuDzQpbD9nI6/IUjx3oHSp
lHbv2j+opnyGuKcqVBGcEHBPu7p3uVbQiqbWu3dxBaRiEAaWim3PufdWgqp+hakGV7Cqd4Wsjlfg
6ozIfdFXCmvWwmMtzWY5jVdIa8YZYLDjNYq7eqBPaKNWoqtfx94PH8hrt9Je1cp9LW1tYD1p4KHE
NM8mdOhUdptBuj52KzfWvyJk9ZUm2ya5eMGcUZ6BtuMl5CNBvmwF0HpEH++gMGfQ7kyo2M3KqqVT
hg3Dyq8dRiCRRusxQKL0lrscOK0bDqYz/0IJccPSN/RHGN/sp6VRe6/+UKI4axz/UZuK7xzvZEK9
jcI0rc2IrSwsvLWgz0g945swVQsUJyHsRrgqPqVyUfdJw48jTs3lt5ayU2Qrr+ebvKrmy1h7kVrb
cJss1kOb1Oi952UGjrditUuo+L7XW/PoZqhNcdp77/rQu180oVZgmxinjg4NogdATOomZm27j4eA
3J1ZNqdAjhZI3Gpihkeb6g2tOrukjtGpl2wBMRRgKAwWqgJ1An76yCsq4H5t3NbizHLS6bH39/Su
2KuFnUWJUEV9pEbceB06W0aCZNgBrNd80Gaz36cOlZNB3chIDWb+DSeo+QK1wZWsZU3lKr8817oO
Uolkf7MJek8/LRbpvc6bN63Orok4xAXazROxNEoPhc4cX/RbNvugsUb6tXJQWVsSF/Le9paSlECz
3Dt19VuPu1s8FPYKPmtuUiDvxM5CQ5PAdWaOEjcY7uh67LeJ++6mrG5kP63Y9d/5wMVuHC92D7yh
z4lVdpZebMrZhiU0PbWS/hBMq1+mrH7qCT2zcfa1uFVxZPz6qITTn7hrUzc09XlkuGPU+2oIed/D
rgu4EfkrTcziMXEDeN7v2LazkzconwV4b+N05QEYDXNc3rHEudXJq+xFjslXQiK8lD3rmU2iKyLg
7lReEt8+4JagWb5UEReQOjKF8xrA7tnXshgif0gAEqX6hWzCQ2Avl6RqR6qXaQnoMieBx9VKLuRd
vbOKUn/GQHpuHechm5Xzs6iAOqKA2uYu1+ynMq6rb80EkZgXZGW0EaKiku1W5dVvZ2gOcTb4dDb7
cBT6aTgsuYTz2Pc/lddmXGwa9TqiK9zqDY2ZqXcfkBjeGlwUT3yyt7CIP4bZO2uGdkJFGHbSQYNo
867bLdwxwxwTaqh5yUufyCDijkJroQ/EY/BJLPYBLul+oF+XDCXL+Xk+sqap3ube9e+oGbpxA+rO
kgaAU25MOwhT2q4LlLv3B08+oouFnt6+1UZGw1nen9N0tWikpGQZfLpICVZPnu4fjdrks5JQLNdx
VUd7pWimP2AiY9+z5L8bU3vlmbLQk6cIryaUItEOCWsaKOlmZU+kQa9FNc83HE/uGZ8/vgA7eZCY
ZOXiXBDfrRsJmIxY4vSVz8VzjeVvjqs9m9kXUxWnmE1KQaByNa0EA/+cCnUauPsE+YInGpafk/Ip
daSM/smSImK3xpWSSoGt7rPLywC3d1DBSz6N5uhfTNgZIbPeTi7twIdEIY66evee6+1yyayxuPQV
iyQx3CQYabnIijSUgPGW3CFD6sykk9CNehqN9VyjLBUnj8zaR5MvC6dDcjEwnC0LhXJ6b+7rXH4Z
s1ww7A0z67bpsyyznWIA3g9EJMo6/5gWQ4au1dPZ6pK6SZcZm0o5nGaK98Ir+96E1RpZWCj3FmVd
XoUbonQIGy/puJsSkW9Wd3unWGOZTTCCB+sJtuiaH44tGFWchPthfTOglroRaZJj51TEeNqRj4z2
jkPYC2XnmqxKxdpXqUfAp4OtZ3ka+n189irzvRqnN1+k7wohD3WtdULRGSznaGx2tP62Hlk5x5Xz
As2MhqNp/jlMzr5a6DGKez5l7tbCuL0hEB1ao0uwu+t+p8m4k1O5HTv5lSZ0PlCjuRncYgr5lL+w
VM6P/mDKyJ+7HwNSAbViHvNIu+antRX9hQOBLgXT3WaTjPfeui2RrMy5YVOoI8TDKN9a15pOxqTf
s+77Mga5H8hNnKfAvYC9RfVQOpklwyN+SQPbtuizcds1LaNh4O1gtTCOaLzxhanmbV2BbWsoG0zM
zNiC9vmkpBKAP1RdaPJesgNUE9mLf2CEo5k2RyCOF0d98LBmT7u0xnbUj35lf6YeWfE4RXyR+cOs
ln7tyXgpQDBusUPS0WPgZN9MsYuy1Iodf4HExQZy09Lbl454LKcshF8SUCIa5EPrZYicjdZHEnjo
1lsU7Fgnqdf3FzdEbX539pRtYlE/1+b0oCptJD8jbCN0lOhDJa/1ZRWTgBkM/Aw8OyWuLNu7Xk2X
fGyrjb8qcr2iu9ttO+CbeXbmy18SI9K9g111/mEMbIUjKBGHtWrujAOweOMNf5PlUoRu5xP2pXo5
cuLllz3oOP7Gac+Fa7nhmpVGqbBDOxbFunDhpaXpWav07CZXtbM3yvXY95r5gZUZAQxxW5lgsHBW
HLzS0FD3cCJX8A52xASn42jbkU64YOtzmLGCEL9EaiEEJq52HKtgOmD3z7kPlfJ1qqcO0776qhRY
Z6ybamnKdyt2eXgUQnyUmsaflRfprq4RXX3TQZTof2Pku2/yagfysb6Bg1+9asOoUZ7u7OYe40ms
+dNRtniYbPlOcZyIWlIPhgTyDuioekOTJx5hjia6Um66j6Tr8UqZbwJwwJtbW1AdfN9QF8e144dp
Ch4qTLDnJmmQsseawuRRA5gwgaU/ExniFY7++KkPHAsWZl00G2pTFiIMYuo+yY4E0eQOXdjqHYXv
gUYHqm2HzujdloAeoIftKl8r1lq1baxK9WE67muuvWIGmHbFmDevjNIFoo8Gvl/IMpwEXVz2MjWv
vW0VO780mf5XTvWYWwyiH8PSmV92N9wYE6SKLi3cb1l6y6ngchMZANNuZ2ktIDAh/k22337WQr2b
7vCoNRk505VqXmBNDkLU1f61Hi2N8Ug1GyN4yscYFkStweCsO8O+ad30MNsd9M+SzI492cHN0hgO
32l8B5bUh2iGjKYhTdyVxkzIBKDCbZXbJrKwBiWjID7IxqknNzc1zUnqHdkqTWmvdVPI47Q+c8rW
9cqN5ffTU5orbL8lfS2h9GKxnU3mt800jilvezN8oNCJ3bqihMbeNr9rGu8OfdCyJpRxcO+MlRnh
irnUYhpvhTblB14JMqRT5g8LKIDXwJ2cp5jT6mm02vq51fOFUcwMIhZ/5Xr2YHKQZX92pGnuFov9
X9jE+DbCwUmcs2x52CINLr+Jhm51Y+ifYDVrODsWPHw2Zws4CBP5YrIZ2/yuNM8F3pwng0aeUzva
1lvrVLijdY5ZfKEO6zu9bwxtB+WqPbY0NEf5WFNN4CaUTA+UuVV0e7WNOuZKCupewPku7tSd6cHA
tVhW5f1g6AFIHMRInuwk0YRtc+OUvq+RF/YzeC95Jnd56wznyTZ/kLqZw27OzGNs5UvYZ4u9TVq5
HEj2ZttaAWgNvcGdLpmgWK1eyMKy++UfnaEXh2AsvFNV22V4NXum5WuQ5tYubql24ubj3CKjALmt
9IklOLDvYhwhWVtL+b9wEv57KoQET3RAiP80P/+UXSlXH/X3/9l8lMNX+j9Tr/7zj/tDKnQhKiL2
kel1SK3rV7j1n3YM/29XXyLEK2tVE/+KYTT+Rv0Y6FV+u+/+kbX/e6CedjIHmZD8whrGh5b1r2iF
qxL4F/shrEfLwomB34MPrXX9Kfw1Tj9Q/dfr00Bo1ShYFokst0N90eRx6dP24S+q6n/DgHL+Mbxv
+ZaJD9OmBJcfhouz4r+G9/tu7DEwpE2kbHd6qvvYX7Y2hv9bOLizFamWOrawqlSO+cNXXfeYmUs/
7iz4I9VNAP9VnGDpvqW0WW7TAVwzXZj+XaIsypvqMkYWUN5bUGhfbjX59ywmaUFKmlQ+ibyIP1q/
K/aGpM2wZLVKvQHdcpqk6MyyjKOLqrahp1ZFbmuf66K5GQC8LISaDrVdGKGVG2shgPWrwMf2zA9L
/dRE5e3agCgNeT0ZVmxbd4zY2tF1q/GeuHzpbXB+ots34iljXHnolmFNfsgoi4PPrBAnti7apu/p
iFUT5aNS3guLzJw5HSxdlg++xGjcSCwUsOy75IzFbvqNix5Ql0OShUJLEC11U9HFS+D/pqMMAdfA
wBvZqByNivEqaFghaGKmE3MsDB6i3BVrjykZim+eMWrGmX0kw+cXXBwDBrO50iUT2FTt82CETENu
wuGK4qGKxilhpr5374D5LIcFcyhFpJoxAfkfpuHdbNSFqAVtQdbcvyzGN0u/8kFif9h0DCNy8fPj
wPoWG0q7bjOIc/fbSm+TJ8ZgMcTeLrfYtgaxRjvAUNccuVm78UTTllxl2k9z8kh3UnG0RAl6XRLR
MdceLTv1TvN6Haytyo3mta+gM2X9bC5uuulGDSxKUIyPXTY/CalBxy4tQlu4DdGxuZ/dUljM6sbF
YloU6kF4k3qeOzxDG7/WZ0pyuPuFpJWoiooRtZldrMdWSTOcXGv+7fX1syXMyPHlmozn+dU8+84S
bHAaqvdFAWjp3ZSwPQhryulpktW3S2bejKY9HhrcIAcvVtOPtLSwoc9Ns2kdi2GMlFe5nAiB78Xw
aSxa8Uw+m+uO0ftjSP2X9cuRxEdkhxuPl8ewQME8zicGDcGUp3nNm4R/qcuR5tx1m4uocshTfGM/
ZCNpYbZdUmZOoh38mDpY6djdQRFkjZyl/8af8UhcwLdu9KpC2MoZBRisAGeEEFSRhims5LWP8db3
UtoxbS5nfpY63qtFPzGaeCD0H2Nje29jOkIuT3vfyMNe5xqrhLdvfaP5CGSRk7VlYHRMupaLyTkX
WqJeEg2qPe5+SJJkaEOIz7wjXtTmtdp0nYcqYpbFfYVlYD6RnuW7sREWnmZWoKUX//KXxPYOPSKA
gkhM7A2r69COv5KlLoqHgta381SKB/IgNrgMb7a2nWSH7s1GEJ+8TCLYwLMQ7xZUEOpQwR2kkwug
CtgaLLeaVi4QRtN40ho3XkJhDaaKwIi3B7oA7C6i89WjW9c3L1bDrbzDM3yY/XSbpuZboCvndyfd
6bULMhAQk/3AE2CK92Uz/lqNMp4F0ChrJ9XuPZvDaZMH6+BXpA7hN73Og12bmtZzWz5m8Ura8noz
eyO4WPGzpaOOqT9GncnLpy6NT1b+adHN6KHKs62xvp30xs5n9dDN2iYpTWqUbRlODC7HwU+q167+
ZS/6CdQr7bAMES0HUNUdNEO0T3pV0Ock8JwuRv/SevntIB4duqB9Ywl+5Z6ij9DwwbKl2ilwdDzs
1KQ58T7IuQhy/xb8dz6ZyzGhaA7Hbs43YQwGFr3A4234R4LCVuAepNG1shx2JP753qa3qcEXsR2W
XUOby1nLiOmY2HqzMV++Glu7dKQI7QUQbjmc6QKfw37A6ss850A9eG8zutpERtpkDi65b5HKHkwU
uo1rpmIzgcbfrzQLDvzTMMxRN8Z3Mn8ry/ygrQdIr7tcspSU5TYPzFNf94LlBEkwdw8fcv7OXUPO
v7CCONSPoExGPWyYI2ivKZzdwq9CSrtVwbdbGXlfnnArYhXfZZ6BqCOoRW6P9NZ1UQuwC1MBaIjb
pFlQj7BZ9WM4ih6/fm/SfCNHry+jFqM46A3XlAUteb7PuTTz5bvD4YHhmLssEIVDSSPtyzxNnR11
Wk71NZE4MkjmzCaF/jKTxFVeTMntmMYGsrGTpstOQSQG0eYUWB9cq8sqcvIr8ez/kncmy5Fb2Zb9
lbSaQwbgAhfAoAblDu/p7OkMcgJjMILou4seX18LLimlUpnyWb5ZVU7SZGlSBINBB87ZZ++1A2dy
ANbNfQHIg48NDp4kBvOuZkglPIynAcxXox9zjhvltjIiTfHT48Ut9RaVy8/uPKViR7N1KDiLzPQ/
cxjDaWxauvahuT2H7opd9UmzzLzZ19okqYpDfG1uW69X4a4muWTc0fcXzqfZAl18CSCzhNumhQG9
Y1eZy0sc6/iWMMIInQG6sPI1JXbRXcWV3/A7zKAIGip1u0PGyhHde7k9Z3vAetU9WhV+BLvHl+0L
DmR0UZij6907uZ3ntyOprmg9Xjkx5qCq5pW7AxQZhDJ9QcOzGkGXGVI66a7UmdjTSscPFhhNkooI
wwXeEfLEV2jNvPBr0ozb3K4PKVKl16MtFRkxq/8e27a65TUIB4dCQPcdV7/9wxPjMjO02tR7Nw2N
lCd+1rTE16u2/DldITz9TFXTluZN53M0M9Hea7TK4zEZrBYOSkBUYh0p3Yh9gxWND2G1RAKbXo0t
QI2IGpzUBrYLmKi1xH15RRHBfRgnipR1qqToVLZw74X8ZNBY0NUztqYg/ChopxYbJ25Cgx/rxGOb
rxLnfbHhfBGdxvYRmdAZWi9Hn7dtt9k1uo6djcNQ+UOLcA3xTPeK98II8cCpgIKCR8ky9N7CQIy2
ttHQrt4uddB8rGkh3wwS/XarCpqBLIbTkMEUiWxbk6H9Mbh2HGyZL4pHr6u0bW11DCP8yY1wXZkt
tZ1Ca06D3o/cqXtp3ZtVkX/r9EmL9oPBo7py41DzjSEJqKuqK+AedUNqejnamsZOCn78thCRnGA9
C61bQgFBwHMjb3gNC86NOtd0awzvIleRtFQkwNI9UPXFLVKHsbbLcy0wt1wmyF3WwqHkircJv4LZ
o2XsVMmxhwuZiAAtKNNGJGh7c880Hn2jDgIdOtAlPmZs/EQg+TGp71KtDT6iKLe9o6v3qPW1fU5r
3IJ63n6HIzV8KqmKl0qaDJIQ+lElMPtnBy/PUCS4JlE8apIIQuKeczz3ZRVCHsqTOonXg6aMPQTO
7sGlgMLay45w0Llnb3gxu6yZ7xs1asEPumetgCZey+iN/8Z6+f9aUO3XTc/4l9yEm1L9V6vi8gv8
5tzXf1ls9vqfufy/uUrkL65wWCBN03Vw9i8Y5N+d+wuWzTUBCXi2bUsoxn/YSsz/qwHg33HuX6G5
f1oWMbtcS6+XlIDAv45L5f9gr8F2clLNLE0fakp0KPNE7a3prqhh9rjzE9LoYUxEsnVG84PSnwm4
MFnx1pg2scbBGlzkjZcML/loHjkSBefRtejmYlytxLRHje+OxpTgRBu7W7Zfmta8HQarQ4QI3Ey4
txvgMW64aszupmn4LSp5FzlQ3ZGw4cM6gdq3822YEpWejOQtHvRmK9rowrD0Sj3OQwiscF/WjkCt
zpDskg88nUsXvEmBCj60fcrjht6jybthD8XUwmmbnFBQHbggPKjS8HxTWaWPRxIudBS84KYNz+1S
mWtZ0r6J2vTQk4UhBBN7PkKisYkBIAJE4ibqzhjYYU9Pn+hnOZlXZeLRc5ITqPv6pSE+52OKIH/u
BHuCS/NRxOFwDLEc+7HVLSXywL1gR4E076Ws3ozacqNVnTfzttUIuMYwXNdB3D9j7CTSi12bO5qF
+7amMwVOMgEdTtUbgb+81ykx4ZV60mDwaGVyscwy3PdxVLy45F8fuQlWcPspMQ6cmpC3PnNwSzHh
Fu6tF2vwj7C3PWeF6j7pii78ajTkwVT0gIStvBdKewap+kDw2Vp0veyges/2m5HSBhmb4tJqLZN0
gTnaCQfuWs0p8zpmyUqdnSrbaba78fRob7lMUpQ2B24FPiy/nWwTp4RxVwYyXVUlBz41HHWtPFXY
lHxZxrh4wugZCNOzqFBaWVHvQ0io6wgfsJ4Pvqa8c0Vr1NiRoarEwWoKqP0DBo2EAXF0mjNrafPY
9x4TsvVekgWxxuFsVBocvdEe1jm2nAtN7a+1KM9m50QnCugAiTWjc5ex7izBPs5g8Ung7N5lLUzt
yQAKErREjINBfOkdYjLtAmurEvKmNnjwtjgcVmOoLmBhNxGnduhF2Z1MGI/LfuoxTggHHiB6vBPp
d5hYt15VNtvZNGwfT7qzheWdYpjWv3ojPWe2oLzC2ZuTx926H9bowkjrthttSJRl2yrvsANM2KzQ
VD90Le9u3RZugJG556TryP5j+LYDt9nYuZwPJYBlNmPte2vm0ZdWBtpzuHiFeEG+NNi4sFUK+ZoD
62Mv9ASnbjgJ0zAG26lEm8UDQ0tQZta4iFFG2qIwt67b7DWvp2TBpT0I+4d35KRPDRSBj+QSDnb8
rpMB9DF8l7BMQjML1iR1KZFiCZjek5ZKgD6vvRtazfTvpeJnUE04Ln0x4U7Oi5ThQQ86lzhanDLn
RCNROBBCt5lr+61tI//jK1nJMHL2sxVkF0tvKfWwQQ/ZQRHeJuVcPJgMDeRzxpTPP4lN85w6dWIe
O6Dq39K5RaW3NCO/wLwih9ErV+6xbhTOeqaSeEffqHlnDGFKXWeq12daITHWaLmpHdNsNqh5wkvm
tzqrXR1m+WX0BBevzNZJu9p28UrhqdPdMohim2IuwlFXRPILBq4Rntw+bz9cFrY7lubphFPFXMkp
VH4a4BFaN3U0Vrc8J1iZXBUJdnZqRdYzY+G9OYnmB3h9Va9pVaFZKp46uevtNNzX7QSeLWW623kG
5Wrl4JiHngPfbtTsEreTCu/LuAs2NEnz7U35NQlDeKp5CYM9W0F1GyCan00SiSgqWdI/MQKSHEVg
Lx6cYYHBDP0oAG4V/SPARefBaCFDZW7Rc3PWlnAWkcXNpM/dT8U2cSYDhYSRuuUhi03WzMFkHJ/n
3L0kGPRf88YOP5LQ0859y0HP69n2V10zcF+uC0N/V0U2PPKrgzkMsc303IF5lS73KxTDYVMLk5bo
JVudLTHrDAs7QTKayzDJMBbBvpKf0EzJJ5rXrKJaYovNEmAEMxYA7r3mGg2gbMm6avE5GYoKvOCa
gQyWOCSu0ejglNRZrxrLcAe6Qox52rvXHCWSZ/KW5UBd/OGatOTaSuoSfJJ7YaVjQyLB1537a0LT
uaY1Q6JCvIiWEGd5ZcsQe0Mmw1bRXcJkoc9Ev5JoFigNj8ryR7+Aarwrs0Zng9+OLe/dg8O+sNXa
xLm1ugTSjfEr9cYzMRwYMRbqdbiAcfQStGSVD/VGu3JzgGGrr+5Xmg6XUgrbQOy0ePRXkoq/1bAw
eMreNR743Fb7aCH0pKB64m72DhDMRtZm3Opb14uDQ5j1vJK4FpFEjTD6UaBV3YMYdhQYtVKuRJ87
NwOYS2hJ/bQrwjQ6ztZori1dDTxaPXMTi8ldN0BPh7WTcCDF0JOSqOuqNd02IbkfVXwrSqd60UTM
tRfYte9Ws7YN+3y8EZXTvFUYdHPI6wlPFX0Q7Q38CMwdrIQP6IHmgR64YTfVnf3uBSHbgxZAZSoC
qmLEoJ8x3Nhn5NL8mPUUqOgkpdfWYOIeHAL9pofkd8Maa2BbiLSLOXbrAbYIUY0xcF9zWzNfyA5j
WJQaZgZzdtWhaIdpG0+O8YbPNnsAXVi8G25HeSPO2rUom/wtjKwOpaKxt6o10rXeRXTNjYzn9OLW
uFrbZLhQNwsWlqvk1oE4v7Ul4wdBtp5vvB5sR3vadTNLakulDau12/Ir8zSi/1bRzbe83hKHo7sa
BX9hUDlmSoQCC88HeLwOujtz1Zj4OUC824579gsGLZyD5IC3AsY6N/imsDdtPegnaoX7tYorzW8p
ozyYM+WZTpa22EW84MBBtN1LTEg7nL4o04FJwCUW+ruN7LZypmB4oGU82gFvYXUs7HZ6yMI2xBiy
vGEaJjeffmb9CZ+htjWxFfuSh9KwGQt1E9ByCSIqjHYlAKB40wvYwF3rvTlTtVacwk8qrXiyI4eg
kJNK50XTSJ6ApnZN1re4mwjFuyt43sV3JhJ0a/5dMiEJxcJhToIFFhNMz5olMxt4GK/THAJvUg/h
ZwuHDt8Xj2PeuC5/8GJy7cxv3LyHz49iNPYq+rWg4f/roPNvSxOrw98nnZ9+5sXf0D3++M9/W5kI
J9OfYkvqyn8rgfk97GywMlmGvEI6JFvTHxuT84vg+mR63nKWX2z6f2xM1i9kn03+T9iNOFIoLfs3
NiYh2b3+fF7TOerxW1CyJg2eyYbzl4aXOBi57ddth+6FVGnsxjmMZ+wUOaSd46ir6cax6cVauUFO
FDbuMbv4zhiU2SfGurpbycyiGJNxkJ6pIM+AXK4TD7TcgwplhI8L79JKn0KOGmnYJvNSCmZGOY1Q
XvdUuRYJLidOdZftqHWMG42w+I2pF/mTNyNd42wYQo4HlegCXJ+eeIWGtXRikhhEnbMcj3JFAk/A
l6LeWZEMBrahu9kAPEnwlKqVkC6TvZI/y1bNjw3yJFAFK47k2orAWatkzPdNpXCRVdfQV6qV7q3i
W4Vpa2bdSYweFm4rwvEVcHJ8W6M1PCPwqvgILU178qagIG29XO94qbCYACgFyM1e1PaVn5uj+Uwn
Q82FnhD5E1eAjh4pGYQ7V4tSixsi0DluH8V4SUtqCZ/wQMg7Atxw/Kqg+u5RcnjJio5nQhM13sUw
wU9pA3b0FX98wE20mmZQjua63CZ9N2urzspIeNMri8GPUja4IFVdjR5iiinULidx5By0oJHhvgDP
+W22MwRbI9V6dczdfuwPWMX6j9QVct6nONv8tBbsDJaOOt1WAMXlZMxIOtIIfG0BRK+wGNTwsjwU
Rm92anQlY3DXbctimwNj20m8uBhVRrtabmtMZih+fee7swNbIjO9OzvBMoNrZ7oomTILwGzGEhab
0P41jjFJ/q7Fg3zBei61nU3n2kFrgpSrqDUMD9SbEM/qZvkagCshMhGlOwLOEF8bC3oIz0CyYa6y
rGbHNlneFu04v7ujBI0iobRwXelBIWcUnT90sVW+1nHfQC6NaT3t9JJ3XN1yEOOAiQkHK3NdLbRw
Lr/6iTe65CKX1/EpSpuBcBsM6x3kANLg1WBfSKeW9qpOBus0DBV7olV1n6nAM93qoa/X9m2iQ9pl
XM2B6Ro2tqUCzfUxy5vyoic5PjfZT2+wWaKfdLzhGby6DafK7deapoEJGcz5gsv8RfPAnPKFc3SF
elY80dIyrfuI8vcEA+ra7Go63+YSbykHkXlfDGV3qBkvtmYe6pQjk1jf0kpOLCabGg0+4mRTaCch
ENe0c9x3lh4/jLTDbegXrcUqKJroEHs64fYg54PdltgNhzkuYWoJw7mHxhGBZBfTBuF7PlIh8aHZ
/E06SypMNgRKQ3KCEEbY6FbGkA3HxG68Q1fxY+JNdrWpPQKmzaS/5UZAtlHWIxBbbiCX2hraC925
3kYjuMBrL9ABzradgn1P8/HUZPoNgc3UbxUQu9Ysb5Mg+Wx6Oq0nPDmnNJe3+TCrlUTSH0et+DkC
uWFZH241I/7UAUOybLtHpyr3Cd4Gn2eTbeDBExM9c+3jSLyQj1z7LSubc56KnoFei18oOGRQCxgH
arrySNrFVEUDBTpqmnFHnIMgt9fRzpwreSwq23tivGC1MR3IeUGArbeMJiSkJGYwANvnErHMvQcu
ePGxMGvvHk52cOoAvelrtmE+F1XDAURCZtrFpkFvNr3gvunW+m6k0TDiAzaV72TM71qntrOVgbBw
yZdS54CGE/7sE8oBY0L4mYxpUBBntQcWQt2xDw6YWo4U5CvjbT4tM3g7qvQOa9dLafR0BHcV1ILJ
sYaL02a4M8nIoqDxp1Pzem7bzt7KbGHTQIZxavTZGBm40tli7H6GUtZ2S2H2uHRnW2L0klsPf2u7
5lGnv47EMd4MEzI61SXclFao8txARqxxj7KI+X2xLknOB0vldxwFnrcxh6I8E0GODgCkM1QGGgGw
oCrK+GS8NI6Xkm1/XQ1t/2anZshxfLaG05wbIzffSn7kVj0TeCFskB7GpSI9XMrSdZ4spLmSxNp1
I0n8vRGWHZdAvsx4Y/az12zYW0V4a/E3026HSNNWtsdCtAYSCaojClM94kRAuuwIGRF3YgFtIXx1
SEnU+9AD5LCLpzb2Ngy7A6p3ANkTA0eJbdzdhoGjGuJVAErw5F6nlP+EeYws4t/PY2f6kT/m+B/3
CpxV8fkTvbpo43Y6/Pif/+O3gYz//reBzGAgQx52CTMucDXGrt8kbJeOEAoYHAv9mrHMo9njdwnb
/sXGKE1/miXF8p/9Cbe29NFScqYzlNnuv1s6S5XbXwcyy2AmtOkGMHVcV38dyILASYc6IqOGwmX4
fYwXh/293yx6Bx+3OvyWitzZ8zJEldGnSX6YYBfksXXarj5k0s3ORu7YX1ZeOdxaCC4lKbvNQKXW
wdR79WXEovpGiTtOFCM0fYF3CDEw0oKfbZoqIk+6DPTFZ8XzTEtTIY9zJlFLEFHrL0dLreINVg34
8zgy2PXiAmhrQnnrsywCBb5tnmlTLeTjNTlXurQLsHJwOCsyswFDk87u0WiSdC+HiMbruhwfqioY
+qMxVNyFbJwVx9aT87B1gsZ5cCzJeiYYl6xTHgQAtdC/Tesw67wpWF0dCpwlYDMOdO4p58kHidO2
CjJvdaKHN5HCcxHxt/xNRuA2XKcvvl8JWaUcnM8an9K6NW0ljmouxCFgUr2VYCR2Ax9+fW321jKa
8hB7qNvWepiioHuWBlxwqDd6TlQp5sSf1t183+EhoUNXW+A73KC8LwCauJ6E2Xedz0Gwf3TypZpF
zy1xTmm5pyJ8atI3Sto5a1ZNkhTrujO921HnCbOKeuuFv62CCpaC1c61C4V1mINuTXETXyfVd2sE
dgha0ehxhK/hfNl7JUeEiiSCOEzifyJRVbVhD/CZTvL2SCi4u+uXqm+w/J25C8rS+d64jhWSmWq7
6ZTES6c4mAWepfa1cJzKSeXRz+vOwMGS1P4A/J/t8J0ZyQ32LmHfDkpGi4wZ6eOmd6f23SnM4GdV
QfraB2brnJJqKWkTyfL1uyPWCuwmJEaF4ueCvN2bRdDidQDW9hmhx76njmyReKOxeHVh9m3BOTTn
UU/qZ4U4sVNTQsZDM5GuFLRMllwdKbWaTBOC3QKzy65cuy6ST9pA3GoEVHRRKrdOtoq6eFd6fdz4
Fny8agHlmVdmXr7g86KQA78nQeqZC1xvBGO0eG8W5l684PdyZbYf8ZXJh/NLfBPZjsP5fB8u1D6H
MNpDFEeM+DpxzY1Hpfngm3yqMNXHRr6hTrLYUWnDftI3SCca1u7NxBsiYR0AHxybpVv6VV2XP9wr
WDBkqZx4nxB/pCuh+9DC7L7Eb7xrKucpjst78hLpWpBco0AIamGw8AtVZ7V3c0CemHElRzK9og7z
Ms8vEaIF5t+FhcjLNbuQhdXO0UAtHcKqvVMt3wIncfX3DNPcTwEM+4zsmnHA7sL7dCEv2guDkReW
ewwWLiO9KPqrdYU1Vn3EU2khOGagHCEjG9vaU+0dLpfsCGCIb8i40B8BV+cPWTSwWlhjyyE+Ve6B
L157G0rUsUUQFY3dU72CSJpry3gVmfminS4yap8jfyMxhR9aD/EPqKB7SXUN51e6iLA0GJSHIGKT
rReJdlzE2nCRbZu8w7F41XKJXqBkNrPzAFO8fxxKTXyTV/3XC7riobmqwhC++ycGT7TiwAyyc7cI
yLRyhqbVvCRXbTmS4YQRbpGcB8MM74dFhiYqwBjsJDxGFpE6nTJ9N6nCAeVXNeEe5rbc0cSCst0n
rIRrYxG8Cz3p7uFaI45bZR6LdW9p87bR8r5idl00c3uRz8FcoFwvkrqziOspHPaP5Kq4q0V8xz3B
d0kukjx1cajz7iLU/yeMDoxd8OL+1ehwYhyLs276+Y+rd5p/UP/4XxH01r8ZJn7/Ff85TFCpCZMO
t7A0DHzQ/5wmvF8YMEymZuitHL0Rav45TeCdth281o5l6tK2/sAs0GDvmRZf8nLBNiXVB/+OugOc
9a/DBPqOK/mNGChwpi5fw5/N09hh7FJjnMHDHD0SZOOy5EBkbrDhnmIeGKLVcFXaLzinILawz1GW
sm6DErjk8knKCw9iULKEnw3FnQp82Csiz7nzKvupMnOwMGDZgJ0V9mPgEX1gRM/TmwAxiNSflx27
GP43uzfWrwLnT2nF4TNtktVuLGHRrNOxHQ4QtdtdmFIkYCqmmSKf9FcKOANal4rXMMiKnWXDsIvl
F7kSgKcgINZxzdYkvOJYE7AvtAz7m6JEawj2/JI/EtinKxCZgKSTkbyXbm1xpAF8BIJkiOx7Mskv
YkuPNNvcO7X2OoViawzDDxyir/YCTxKyvs+nEpR9rmGPlF99WB0Xyi3hjFOYJ94KB/iwwnUj9+xH
aE6hfa7K+Raveo1yjnjrhYxrco41XwiLAKlp7+i0qrkSNvi08In6Qqkf4Ux3li3CkkJGA4p/4T1l
fWga7JDAY60x6FdDLGrMMcN0j2pSvHgWiASb2RdlerSPUoQ8hO3qBNqFFMY4uSsR8uqdrogpE+BO
5Ru0LeFuu3JsaIz3Lvas24+GgvVZJIV1bHBEZhRdbmY7OWOBLKiKYF33iPdRCURB4sHmyrvzIv0i
JkEngjPCEyRsDg8pv9KvIOylhxhE3mNjzMkPg5HmRmocJ+dEsjfJ5VLhNZ96psAjZrMW7D3FX8qQ
yOkGMtKA/WL+yGqbkGoYXfC53VQRBIegrwlz6l1zsrraftK4fH0DZUrT2+TO30PB79/R67CSCsxP
o7dgSjVygINtZry8HPuluPK9bJcK1MTmJ2ry3CdU2h2I0YF73fzG9DNsssxy2AFn+GDWiDG6wH95
D1IlOLRh1T/GxNK2tZlJUvZYoGg6MPtsZXMx3XEN+MI7QMVlmS0lm5R7uoRuioQaNBpg8/OYRuYd
AXYMH1ExQ/+TSsfw26hXvmb9aRwMubPVSJJMa74psoIrvTU+VSCtk+NRRlqNgms2vMxVqUUF7n+v
uYnZ2rdFVN5xgDxQCbCDGnWsh6lCG0sLolps223PrWpMcGXw+qXOqlZUGFnkPUXrFLteg1oY2/mH
F9K1VJgSimOubqSJtxbf12ds5YQgTYz4eCInzVf6xAfYtAGKmeqrSeeAG7zuEZOkVIrTZ3kQg0v1
Mb+zP4eTQXuCk6w5Kj1AxI0fAgkDQW90y8eU9iJ17cDUPEEgdMd9aqMdaWhs97FevRRp817mI+51
QXQxJbmE3czClJdmZ7erHnpD3Nlt/lbWirI3z3o0pPdqoP3JqHdf0UrTTbiUB0Iq7o8q17WNSHvv
PhIktjhQD5uITIZferEDiUNeDJiewIqGguO8SQG3wwnNRm1d4YgVvMohdUWU5u1CgfSRdi0TQYdF
2puVh1UeDWGKuXtKOSf+FWTWcl/cGsBhSERYLzRK8E1f6nfd5WiEimZoQC6H9EaJ7ocXcR5uLXan
ToGF0Q3sidvezdy1CXrjUBZqPFY9tsaVsNp0o8oxvZHdkJ6ILKRbRFs6ONL0bIXw0CrlLrk8xcm6
F1S6YPQ8JWFcZeu4KUa/6qDOY/Fr29XQ0TLmlMl0i3f9Nij79hxioeU+6JQ/JOG7DfURxzQk0jlG
0WPKf37oJYf664CbYWxeZwg++7ThBBz2zlvecWZNQv661eS2d8snHLMwpLgikPZzpJsvMSLgNo6r
/oP2QB6OqXoYHYRRzyBtCfY7eUJZEueJIPlTmjNErlgjrYcOjSnEYK7nh3hs5lcsvsWmIBd+aLTk
MZ1T+xzYdbER+TQuALq9rXmQ9IefM+BKtcrBK+Cdwg0Q2rahr6wJD04+I/tG5PLWCgo0ij9pedVk
e2vW3iqB7uTli6jkNsFIwjyy8DfE9ffe8147DzNIVEODLXVdjn4HF23bD8V+bDz0Q8NJ7yflsJXb
LCbYrwnR8drfYkIjVTESgOhWdR0+5Q4Sp+Dp0VtGuY/ZRIrIRq9zbX5kWfYT9D+ADp14sJqUe3U/
j77OvzAF0UPWAVLg966oEZ25q7b594ptfxfxFvI7iZ0FlJx7JJdFfdo8pkfNhOpJb2a9PFN4A9oG
P0ExsZbS4NsSSazjC9P7Wwunr5UdDCPxs+f47/f1/BXn4mkqNZpvwjutKU64afVNIuzpXisy+rb0
QDskWjp8kAiO8N4H0XusL8XScVLXE7eaVK2HihWacLI6zGyR6aozLNxKKQcvnz867y23qn+28xT4
U6t5O2NI712MXgfMAKDibIbhltEB+VI/VICarYz2wwxDM6I6ZI5NYdctL2fqhDaty/uw9PR7i9XD
MXv71orrzI9TM31kDLmhHzS8D7t4ZFHVLy3vhwMweRIc9TAunByNxXDK+0eNWmQ0aKxkGQ8AZgcB
KmRKtlHKD1km2XwN4xm/9ZPrlHcgZ2mQC25HsPCp+70umkeCI2JvQl0RPQ6lqdlEoUedngP+CGV5
lhx5xcNYXbKErrOJT2ezzvduGL858ZKRGUq8gir5NrnhTzEkhMAfqiT1o/QV0hFp2tZ4gP2WHOAD
r5fLCcdeyzxE2PDBxVbeoexNWEXc9omjTpP1wBgjf0ZDCH64K+V60CcObwHoAh0ASAus96Q7Q3JL
rQOfx64dou/FPOkHT5UbRy6E4MLRzk4Rwz50WhZu5X4x5D3OFIA+jZPePGRVLPZ2vFhy9LLamOnc
nY0gc08jRStclittaZ1lXiuZeZla+BnPkkIxkVWUoJb8fVS6pSH1i6904mtn5nL2/wlri0Hecyla
+HvFc03R2QeVydFH9uviAqKrjacP9S9FUH7Jf+4tlrCQkKktAcN97Y/4TQX1frF1XQenrbvUGNvL
7fl3FdT8ZYmH6sSDpJQ6ZtA/ztLGLwaVzFQakwg1hWn9W3w4slx/WVw43dqWiwQKIpyvwvvLWboN
LJ4+eu74ZpyVfpK0NW3HNtke4DAkHqttQnv7ikxGQlht8W8tr2OSSd6q5Q0Nf5C1W0N7w2HCC7xf
XuVcHcTOwDZDSoYXvbm88rGJF76+jAER8wC4RiI1y4jAbj3QJMr1srS8eoUhx32iZEEclMEkNUVA
Dmv4mvB8ZbOmWxeIcN9wDbRcv3e0h4EbIXYd6VNzxWIO+at8HYzk09bVTZQLnFXV5Pi6WlJFU9n7
FEYNb9rIEEBTi2ETSNAw/im3e2ZHVD7HPopeyppPZTHctyD1fWThiERsLnGPLpGbYrBrRigCm6WV
coA0o+QoMMODg6s7H0Scdbbok+dKFXMVccz8JsLWu2tq5yakNmGdVJiL4P/l+64A6k26x9iQjRen
bJi4kNVBg9aiF8yaQ/AM1NVaCy4y/gCtbl1KTX8toAjdDC1fCoRoDpR1G+5z1f2gjINvp43Ha5CI
U2ykDI8NlpNrLQcPIs1Hhklv5qytCefjFQp0jeatjqQ5jCj9aMKZu0jGVqrY+phlhZfDFMswXbNw
oWgpSZ1CEsXHYHa6dw7ZjEgZAIbVqPgL4AjKJBybVvQx2ArLgV5HH4nJ6mOQnhsORbEQMoEBWUA9
DC8qV6MDqKchW4JfyqKpqy3FHR2+3Za1ABdCGNv6T2GzftZQY08A3NdZVX9CmHuBOnPRzC6/5c1E
ACV2gjtoNIkfY7PcT1lHrVKbJS8SVQozuRx3JOkhyjoQD7q6Es9dYYq7zhoapFXFdyRiHuBnmgQF
QqmGkRYaR4UheKUTVn0RhPEovFc/akvBSRtiYzVTfEUlgilXAFFhioa6wdG7cp6Bd4pbUcW8m4LX
XJTgeJySqWFI7VVPXccOTxzXWosjM/0iw2FsiruS5Onisp32TuUMa5AT3JgNzu6zyzlWB+jGcC5/
DByy/VrRSV3CdoZobspqR8uUc1clFgndsNH8aQ4d0kozu9NyikB33vbgWveNSrASuCbV1H06nmUW
N3yQkQL1OPjqhlA9KExU3Mr7uN/BJXT2rTc9m050kX1wokv2EA0js4GBLmmm5yDpvLXLGx44SkOt
dAcfzPOGtaqme6unGxSixJLwIai3gqkN4UKftmPHTS/wmnJXJ9qxsZpo0xTttJ5Hwy43WSLib7Mp
c+6y+AjsCI24GWNUbL5hzpsaIbKXUHS3MkccLdU03qatZt7R2pyfY1Dzj5kAnEYNWcN8Y2LP4iDi
kwso97xhT8VYctBMRM0fnHs67oY6zl7A1y5zINCZHDnmNtIk7Ra2WX4TASXFPN6wRMjVgJf7vciz
xSM4I0RaQFn3mCySN8zbx26irk9otr6vkumRie6Y4kTwhTOWT62VPSZz/yQHj5/iKs/481vv9dR0
G9QQrCocbHdOGaxNM00PRPkE7pW69RGKtgSq1pNx63QBx5cukZuuDLBBa3xzyMuWt3qipz/CVmTP
Xax/6nMIJK3u3WUGFfrGJNL8ZTazekihDU5EfTJwW1X8goXE9gND/6HVDiWpGpf6qRh8zDXwbVrA
2h34kU6Nt6x3iR+5BU8x14EHGsx1dVOOSXuMB5jKGN910FWBmamVFVjyI8LluaHSJTmxNa9aGntK
CnQoTEkYSHoLXDp5weCr4R2JdcMpXkBqJvdzVnf7AXvGXVt0mOsB16zhWnmMXaM9fgdT2VwIX9BG
Kzr8QgGPSD+OpmCrmuLCP6ApzFmxhhA4bUSSI5NofFz4VemxJP64JiQyb8C13IcZJt5yslchFWeb
OrK2QqploeDxK7xanRBiuk0gm2hNEpuXi8VnpxEAjWVQvxdVZyNCoWi6jniheZvPZa+TK+559HCB
n1kblzPWEMV8bmGAqU2BZ3xjaKjJMZZiEKZ99NPKpPDd2Ivuhn6QX5NYXPgSdxX/A10G+h0ahEWg
Mxrck4yQDaP/Td6ZLcdtZFv7Vc4DHCgwJIDEuTsF1MQqjhJFkTcISrQwzzOe/v+yJLtlte0O/5fH
Nx3R4RCHYhUy99prfUsyM8xpwcaCkEWgZenegiSa9+Whmadm5fwJp3NTCO1953rrB9CCzHWzGvFK
NezV5Zi+ny1EE0Pv7A1EoHs7QzmL1ZgYq4ERqusj92/nQ9rjvFnVWNmoAVNLtdTP1dCpDe4zY/pw
nV0GUjWajnLEzz1SvJeqwdVIGRTx+OAtra5sNdxaaswF+jP6nhp9O2ZgRw3D7Og41VtUw+oyK8dq
bEakYII21TCNuoC1VA3YlRq1LTV08yi7tt1Zf2rmMtuBcubcUUO6qcb16jK5izEBgKXG+UEN9tT1
MOND1EuDeaJjBtxrhDF4eqNbJDv3F33g4i/9J9yAlczu/OXO/+UVPFv5Fyq9+uffbruCijXLtGB/
4nJ0TW6vv6n07jvVNmPrLlv37/r9r7dd951JWMbFIWA5jgl95F+3XWUHoKvt/8+EiZPyp9suKwID
Tze3bgOzs/WzTI/HiPpFLPJbG7KJF4xtiYVpViMzouLWVYVYMqtAOeHcYsPaqsYsD3YotUt5N5N9
D5PpMc6z/GFJirkD08+NFRwdUD0QGzQKbCh6Ws89C8d0my69dx4dnJc2D+tHK9U8Qjkau3a7W7w7
vY/kspEFs5qr4fqLFpvnk6StAQiCjgsB7JsX0mJZsCXOoA5snW7I6HAc8Qka4ZBq2LHXxkaQwi7l
5xiaGf0IY9wUOaTdTPbaJyhuTsUdLyQ/3E3uczjjWfXRZFw9aOYEiqZIss/tYK2mj/WzgocVTYLS
Xzgwoc9hkRQHz8raD+bYz2cBjfdlLJvlrTWz8lzKAdd0KlxScavDSwrHNQBJ0n/spjmWQSpiUMqQ
PdLPRqdrOOc9zYJIZeQ3NJEI6uoXmd3jj0Dn0NvGu6L3bug2rh6L2yadJbqN4P+P0uUpxKPV1IKm
N50ns1mWBx4G8V0bTW4cVBPj8Saa2+kRMcIKWPt6XxfkxZM9j1sjysuNKC0QVo43Y6OIK+cm8moY
gWNoH4qEp3fHq/vB4qUIHH3pPhotRISmM+frKLHi1xCw2oMJ2m1POyeNAKVpNtcJOXxQUkkYU+qJ
WYUMG9cYWF7xVU0L3653LR3ZzRyUuWPtCcAZfXSVdjEsghgdeMpAJzpZSrU8IZcNxo8SPCYkPGIZ
tN6IVhgHYebNmT9C+erl7XhHN4O4gU925IciJxUSCrixp2VINr1mrXLnsLN/bsVgP4zQE8ZNR643
813im2B3nYkkDZ7NqSNTl8nTWMWV3MSZTocC9enUtmGdMIIE0x4kubSvd/An0g8j4ByTfTpe92qq
wttuSrV9kmHpd3NqEip3aT+RYmfJApd1P8qSXzdKE/ha9oAqG9NcR0bKXaobQP8i3C7m2GkHpM3h
erBNfG1aPtEmMLm10mzLpDvRNMa+/EKcFhf6NAwxSNTZhUrtXAjV9YVWPSlwNT8JDOv1wrNOFNo6
BXQXs8m3vFe7Spr7WEGwuRbCw27cPPolV5DsSfM+I9o/jAqf3eiGe+YYqQruaClLKS4rXLW8Qmvv
K331nmrs+yWtFsy1EFxarQooc9aekrkuqEIZwnWAG2R2Z0wKMPbKvjHeDOawLfCDdj+JtbmzYsfF
mbsy3Z0JqeT3U1lme0RHokZVZrfvrXBAurcb/kZLaaYr+O2G2FgnAa2seJm1k6tb7BhsPdqFMfeY
bY1Fxrcaze5OqZx550Egyu+mqsJnQFxccAGBQsFlWYdUDOVh2ptLjhG6i6Z2VVqnNlxTdKOf854g
VXop+NMiCupcE0iqfikA/MccjxxIfy4Q3b+uWOH+6njkn38Xg3RW1QbTvYv/X+CX+9fxCADMFK5N
sJot97du0l+PRwLf+OA5Br+1jDq/Ox4JJtAh4DBQmRdx6W9kFJDjfz4e6ZJgh823Q16EyfVTqtuZ
TfZoepxuIy/srg05PsMx7XBRyXJHX1q4zzCbbpNySWAodeWeaugpyCvGe00nAFa0DaU1As+Ku3YQ
lzulHJG+9DGIlTQM05HTN3xGGVN+qXOU2y63HsOZ+EE4kTMYXWO9YxAc78Yydd/IWTGsKWcT60sN
K3hd20i0YHKGKITJV07RYVBGKLsXjrepu9F4EPDKvUBQbmD5mE2z8zT1KNqRNidA8ZqYCoTBQcXN
bZJrhEPZpgwTrnTCrNtpSeo3DxrR47qUipS1OLavVyHO+0gU7k0dcrYQuJNB21RHACwJwtXQ7bnJ
ptfGoPGQjTz6jOZRYmzF0VvOeZ/c9XVdfCRg5R16k2DSwG9LlrHbA6uUh0XlmytUlafe9F6WTiwP
eAqdc9VY1rHuJou0uPaxm9XuI+RJs58xySC7VPpnM02qq3Lwkj2OSXvxw07pZEZM5Sk/e5vf4Rum
Vynqxb6LQ0lFdiPveEDHdMEVgooSN4x2UyufuxhkYU6VAnNQuq3KbITWAUTbqAHqJNjNgkQrXtCf
Km40xki7OhDDbOyaABRY7E88iDYFpRk+ntohAAyp38I1KDYFzT+whUpmPvuWa89zHS/ctCw9njZ5
byGtjY2+0zWejOtkPOKAT3xh1a/9ij9+GOxxq96O1N4VnW+77K8hPF31DW3QS6PU/snrfTBuxyQs
7cNaW3fpMNwUFgzKqFAEjmX+CPm//aWNWjhscX9f1jN5QbBEuwzfMZwY4Kk6HZwBCI0JnihttNiu
Scl17POSDiR05u2cMZKf4jVOEQKa4sAsWqp9jCoiBepKXVT/2Q6nHUveJXCoXPOLZSoCrp9jQKjI
CFrsj7u0H+Sxi/MQhvWSem+8i+CMm+lBJqHBjWiOP0LAgRteZjelQce5FP2sINXRtqOCaevMDuvj
UZNw0fvhvrO9/P2yNuspzHX9rhXuS18BCln0srxiewVilMN7W+laRD6mzrdaBftJ17T9iC+EIDMk
nqmbxweMTPCkG5cwXpG7QWtX7s7EVLnTaUpQIVg4IZlT3EwWnxk4hPFBS4GKurjXSTVis3JWeIFR
biW3mABZaBE3JeFc9de4L+V7+q/DQxxCWDfhodKwuxRnaoQitsnWfLrsJT0w5NEmS8uY7KWLdizc
M0UX4AdN/QM98A8V6QS47/j5QytCloKqVGppefRIQx5SMdXoyKDLZDcqLkuyk+4AHqyDdmeV446e
oB3+/NNY6/et2R1cjU8zdPh7L2tV0IefjKD5xhmW/MDHhepZAjBBBHaWZz4YIq8YAg8M0yYz9PVJ
4n09evQT+07e8YI6oTyUniDeyJVqw31mVyHI7CKd+owxfOWl2hvzem2nJjuponxpzflltEiHZE2p
7UrDaA6rKcg7GwQokDtpabXzgv6MUhCrKv1Mt65Wh7U6NhfeUORf+zt7MI6ayeo80boPonVfyQRR
gWzhYfCM5Zbo10MJW9BPWqIpTTcSMU5Z8MmUv2BjzP3t4jXmNfUrXPLlC4oqFS2WaoBdjlGCAADu
kKYP7h7hYh1gSoT48Ed4PjMg8MRtyF2jNA3dEr9EWs9uN4E4G8xiau5gsjfUdNUW2dDUvkUvHr44
MzIfEDyLmAAftDxmYe2qppqNl1ty15qRMlB2/CyubE6JThOiqUYFVnn8LPQ73aTaSvB9MqqPRTgX
uV/gyz24BJYDjZtKIMrutqvi9536dUM+jfsVTTLgomT5xmrywMx6R2HZb9befpj5OxPJLL6uS406
yFWIQBvvBEQ6rLth/b51KdYU86jtudSGOzvGpUJUyjpKNQR5Xd194EnZQ8NHqSRrO15Zbpru87FK
3ovVMzg/QucmlTV1Vg4eCr45Jm1YKdF2oLfk2PVx+rr0ODeyac4+12oE6z3tmbbQr6XDDdz3LhNa
q4a1kUn53A2O8Z4DwHxYCZJco7zEdBwz3+GQf06YZa8YYomiLDEFl2UVc6UmXeidDZDsYMys8jbP
KKPxl87eNy43/FWNjxHq1MbpoyUjt6rkSJa9Bv6XuT+slBPcMSVzNcfEQctPwrK7gom7V18iNaoU
E2nqHUfqQn1XTa/JUNiviYlclUbiqclpHwAo+dkcedonGo2n4jL52saijD5L6U9qJs7UdDxcBuVJ
zcwDy/ttU8fVQ+zM+nWBnHPlzrb1utgAvHywjM6OHlaXR3BCiSrhIGhvInuoKtoTwoxJJxUrwX9G
ssUfIi17FZC6Tm1ttfdjbSdbJ+vwmTX8fXoGWe7+LQHAqLRYMI2grry4nrstrwg0FCKDZHNSKmAj
3qq4V6pjNNTi7Gb1B2ggJdbf8i7ydh7g5CK24sOwEITwiWDyDAStfmzznIrXBB0rJuznV8juG+Cj
4bapcFB5ZvOGkFvdWF5qb6nBKYKo8+InquC6UxPTOjfoI5WVQsw3XmiJ6zEvstsZWewssM2d9FG+
hyvt7CTH0YNzKQ3XZ064DveDMm//Uy7u7l/qWqehffsG8/3jNItSxtRX+C5tyXdsRw2p4ySlLICK
19+kLUQqm+Wp6+rIW78v+nIwoHqAe21hmN9hTd/hvZagm9mxHSnY85qua4m/40AlAfPz3R3rqSsE
3F7Bj8Iml//+5fWBbqaOaM5/u0MkgeVKOjNpTlhOWNw69mCrWewZQ5a9Wy8k9brYbKWfuW52oFZ5
2vcZFM4ZBuuVFQk9GCiggktmWDfDqL0ttgb6CAHjRi/7Tcx7vNrAk+Eq3kB3cSJLo5iutFBTRiu+
ZZNa32YFHyA8m438SnGG9kZUBlXAdcV1U6XGlufAGqKUxMbtlHvtU7H0vUr2mdb1aDbWbdHSg7TR
2MMcyqGVQUiJyyHRxApgJhvZ+xgFz6LaoznCS4yWRvR0esKpPt4M+sRxlyTE+yXZsJd+EctuFFEO
hLNJsYBonsa1Us4MwsBp6tc179weKL93CLuWxVHTlTu8R/SnxkVE46ITVTwCYxwiPPcS0nz8S1tu
Ug3O4OTx8MOGyMu9gZJvbzNw/q+WqpUvBgqIyTXN94O0tfIwQvUn8EYdfaGK6W0OihlXcE66xlnI
xagK++XSZt/J0X6vXzrugaYy8DhOv4RbvZrkoQWh9DD040gDm1m0z3Kk7hHQq/UMN0dQk0GR1LLP
Mcjd9YMQ94msASdMlc7r6OT5g8Ce6vBkapB5Eq5AEJfAJ6jKH8jEx9xu9Of+ogvQLo1GoF/0gvKi
HVRKRnCVoAA/Hm2BHmt0hkxJDvT4CJBNlDDBoVWahJFREDEKp9iMWLO0k8Tf6FcXJWO9qBq4mfHN
eBmYvKrKu/epVdlAQpUYwl4xv89ZrfVnyl6ZCWYlnFCG0e5NJaZUSlYZLgoL1QD9ebroLulFgynW
QXvqvykzF5WGDQaKTa3Em1DJOPZF0Wkv6g4ib1kQlUT04WaT+pEqUyszl94S79KxlkxteBBNaXm7
FNntptV0Vz/hdKabzfNUT1ty6WyzL/1tnqpyI2qRfUpUvVtUsZ6pL51vieaYj2ZSJuOxC1s7DSqZ
gw3k04Zka1Ebl6oCOU1VyaWXVrl8NNrb0caeqRkwpARtNS5r2vAxFjZCqgmAfsG/6BKUGWVHb13P
UAZ1ULXZRSKf2j113PEBC0Z916niO34dZDzv4npkMvAsL77ORs5p5gHrLauY+dxLk958adUrU6O/
xjudUKtCbwVK8xpHb6Wt2vgA6NZvYVJaJ8a65xR/LhEX6vuw6MoZ/iGwliYzPExr9Xo3VhF45P7S
/4dJylVmdfFBolfuHY+iQFGRTyJvoZubSpqRv0LNwb1IG5XEFMFVF2AJJmpYq7057Lnam7vZ6ppt
5TkUG2TJikRbLpDEoi7dG6X2lSEhubGtBcQKJnza39it+9h6dX8OqbzxmvGlpRTIKqLA1StuCqNW
3kIQomrDrsHO6rTT/tKLwjxRt4FBbqjrOysa2P4t/Co8G6PsnsslSoSj64HTuVx8o0hg2x1w0X7F
n1/vkYtLVq6evu/CiqxrwQDvlWcrDZNzjWPiIQ7BbU56y3DAVH7u7AoySN/J2DdZx20IrKPHtsJ5
wHEi+TvZ+TXwlS8umAUiLNQ0FWR7jk7f93fziDHWJQD1ypGVsFMQURQMqxDXa2FOV2B88uekNoZT
vxbO08yC9cn01NBQSS7XNMSkD3k7xfcGyw7mm1ZuBUXmAV4WC/W6Ns8AulIuvk2yE1VnYlCsQJcg
z2xYJ4jHWprTtTI2Ecmjc+lRdwf3XnaqPyVqyRSsorkRhpu8l2lIr8Fqphi79Ypk0KaM1/YatA81
7FJSiaeVYYKVQfQf17VFNV5oH/wC8qiyuF7PM0F5uLpbo0ZpOoXrdLuqsOZmXGabc2FWyBc1gHdj
/9zaDq89KWrQz2HjbBABPEBtMRNGgl1DUt0M+jQpC40dRQzqrJwMarK8geAERqx5nxH4GnFJYNLz
Ed5hB7IyHPzcsEJeC1tzrok6f+FBS/LxH3PB4hby58roMX8t/kIXVYa33+5WumULAdrKcCQ1rdy6
vpvk7HfUl9qmrrK6ygiHJPmrLqrqVV3DlEJILruXRNCvdyvzHQ4w24DqIgj48t//zt0KI9zPdytI
MB6LEt2xWFJilfv93SoxlgIe67IGeACs9QsYJfDsGRUegL3dePnM1ifaxtRnPpkREZHENWhCXM3q
erX7F8eR9u2Q1eKObLMf03i9LaO4fuRifwv1/OS26Fa1M49PwrUmANWhfex1rzwMs3vTZeajaxf1
XeY43kmU5E2jYTQJ/hrDF9itOfb/JgN47QxB7rafWfVZ3PWi5oEHKoXaCD4fktI8x+ETJUL90fPW
3Vwx1c0AbmuEgiMT43zDm7zfSStPeALptyUtL+EUXluQ0eGaHZxE1B88E0YkWnSyw2u3bWGl71Kv
7PYhlnC3p2vM4JaWJ7S1V0BmEZtQ2FYVD9aGR2LCW0vMgWm2FQspnhutAVbZQAO0mtsxNM5jWA14
LSjE3kxwsyyzPcSD+0VUzLwG9ZsYqqDzTcOKOzkR5AHMW0oHA1Oj6r017kF+lJuht+8zxVciEMzM
xR0gD6K4qI8wl7m51GJhX1PWWvQlV6ymAmRJ77s1MRc0YO5ziurkKb4Tuis+/ote3Sj+06hIUCHu
Oc48hYeSjaftlws0ar4ApLoLTAr8hX7CkATlEM/QS30hT4mZKKmmcFQYTFR86eheKFVh37ggEUFX
5REQq2wc80B+YycaS7StFO4qHhT5ylAQrEuywTOxbvQKkbUqWJacwGa5CqBVZGVPuS1QLdoduz0X
ALgT1Kofu4RNnac8z0ODiY6vZG/FhdJFGQJ0anJVu1FBvEqF80Jcp7vWWKObOB+Y5g1rv174XxjT
YYFlrsKCxeDW6gsrTChsGBXzEMQ04qp+OuuPXH3DXZSY485R2DGpAGRd6dkUuAElq+3+I0IP95Xc
WhzfuNDLNLDl/swtfhcruBkHTvFM/cLsxzbRrERB0DqFQ3PW2nyuFCKNZWd7dBU2LbdWCGq5gqkV
aec9jRfCGscJ4hbQtSFpjE3LNH/GTamfEf0dH6Typ94K7ynRaLaoScWVTUXJtfr0X0tBQaaGg3BH
8jalwEraL1EKA07gqTvSCCXuESiT3apYcSsteFy9cZbBnVU0uSkBh+QqwhwsuS7gFIyPheLP2YpE
J2MKHgUsGx9+Y37jKGKdTE0+JsmM408rUmvLohTenKLctVMXXxFXXfBYwcCr2964inGm+nWzukiX
ipbnOM1C2lUh9CgXtw6e4upps1Hu9Atsj9HNOwIzIAJXlEb2JUmz2tmkuhPdtSYbHT3q9QNJ3Gik
p6nG15BJ3Es465GTUnxt95U7rkyPgui0UXyWU0cIj4we0eZpQ2CAxTMhXCMoYJLfUuMIcQg2Imf2
Ws4EqeyuJJeVmvCiRtPJP8JjKV8gsdS7TINN4jWxpN2zXJqDUwH8n3FR2n7tknzso5goe1fhJRaD
cpiVdUm1SkQ14UMxAgVxuGE+e21SnmB7yQ6Obc0tOmsbInQJ0jkhpIb4DhusuvZuiyam9F6gwiKf
5yLcr1InBJmXtnUHbZP2i5GY7445HugMgqx3o81Zd24rbMqbDv2R/rtRr6h3iFWWUvGX30LT7AgA
ld5wipYW9XCqCzCpVPZt42pwcsSbdD8kiUkjprUe6fsMr5F2h/tGxPpLH8Ea2Dh6npyilfdBj9zD
A2cgBkO4BHrNZjJo08YkUIxBv87hL1ZI62FEohJcqxckRUVrZdeL65ZMZ76dYqkfwtVoH+lvDY9C
528RUIdqvmdBZeZnM61LcFa2F2IkcQYcYqtOuQb+i4SQVq0fKUHWdmnI48V0+KQiscdtYPcyfTBj
NfYTySJ55ALEzf2K9uN9O9E6zLO44IE+lq19qmouski0873MVL9ubXO5F454JbsNk7hnChp7Mhad
Jtye5is0Z505Owqo7QPS5eQrXTl0e2xw7VRoj1qvquAingMb0YuWOspFZzFCo6LWvJ8rz58j+j5W
g4gPiVTfbbOg6JKXwaDxNDGnz6S1qfTEfznlN0uOM9AetBvOBJa53q0bcW4B/xyH/LornY8RRu+p
dLZpg6qY2skZU8hBXNYYyw3dPU9rOxxTVz51ZbqTi7MGqaa9b5dsW7gEafxaFm7DjVPLxwNAhay4
p7RgoTg6tPIzKJr5gzEX7szcJXCjr22ob/NGDR5jBNlmYzRz9sF0zCYY8sLsjsZYeddaS8wPK3Zr
PWkRwantkBpLtXcY/3QGfO4SjyTBjKBJjHGnsTpkbpf6MG3kYjB6lNVYBGE3Gy+6k6YUfeidsXHc
VcKBc2fgUn0hl8AMh/kqNtLmyZNaf6UuYjfG1Io3FG3zthWavjPzhSUO9sx9b+Nfcqg1pvF7kR9z
Zh2xmfNZBHDl4k8mNEgU8zhWlKIy98eKCS51IW1TN7Hca2Vv3qx2FJ3A7n4EDlsf6oUOz+1QODz5
EtvYy2bpt14/lME/5X4tyZn/+f16X+W/XMrI/ly/VF/gu/fAeQeDD7HRQB6kLsbkJv3tjm1b76Tt
4L2TKrwurB/5iPIduqXpShBInq4Wlv+y5jnEV1Q6RTigfEivGH/njq0yNz/iES1bHbAm4qnJNd+D
4vj7K3a5pu6SNqbJCLm2h6Yaqw+Jt2DuylORb0cKbk6w8sC/Gos8iVFfEE1IZ7G012x/lqzVXhio
a/eQcgwUD82Am+n2hxf3D0rLfrZHqJ8R4waasMu4QYMZU8qPEuuczlOSoPRus5gPr88ijXDamFnV
zu6zfNs6QMqx9GLk0Vi/HMPITjt/regF/w8/iPpb/fRqqYNNNcLZuD5M9yexFyIRrGk7NLYFgbnY
J9/SZrslqjL429KmdCPUNMIHeMzAlw9LGUTCYqzlqtfkG5KUYAFnC1s45UOG9pRxf8WkPXn2R5E5
hFfr1En2rtNk9T0OR2wQY283yz4toMDshadl7l1mzTCJJPhw41Zr3Qp+ToXUdZhLw9T8VLKyYK1K
jcwpzMJJ3+rdQDH2mrjTVyOvq2XX1i7cFa9Y9fW6Mh1S1XGZ4w/klDM/LWao1+zO63gI+qzS+2Dm
XiqPQ2eH3Z3w6Kfw274CfzJbNv5Kc84p/kiq+lUbovUmjlsIeFXMd0bKaAl0e8D1v3DtqICUAUz0
7sESrSldVZoSnJYOxNNQ9FMFFwXr4qYC5lv4o9awrCWrOlnBMmascytC3uPWwp1V7hfq1EHrD7nL
tSUjULdJSlplKC8zcVTnOmaxSCxfqKhfxalxK6o2a2D3Sl6tpbyCAggtr9BSQwL2Mx/ATOdk9gEG
YWDPkALxZKgxpHUjosZmhm0tRvYlG8EFXdV44RHdYxqyl0MLQQHDdFUYmNendvjU99NU+xZKBXjC
mv1fsHSTbb5SAkTxG2rwFMAWdJGjWoOKIycDl37jFYlcdmqDuGwHVpEf2qpFMm8d/nwHs50Kvqmj
aXQgwFLR/T7V9XkHBS/mEoy5UZ2J7LmC1SBU6Wk2l5jM05wkmBfVCsPm9bGudSJEYkyJzJhtY53/
MY95nnZ//piHWB7/Erd/oaRI/v33p7z5TokeWMuYtByeVWgs35/y+jvDoBUD35nnmd9wbL8qKTqr
LeGhXbIZdk2WUr895U282WDadI+FEp8qh0qRv+Ewgwfzu8eWi4/7QkkBhIsuoyuKyg87KrNIi5Ik
1YpRhNJvWB/9oxGz1wk7g+sTH5+rlYtx9k1e+zL/T/RL9UfPbfVc/qGsxFLflqInR3BU0btpqR/r
h2+7wlFw4yheA/rfylOXDW6AfrzuSNtSU+hFoABMJzlANUmucZOgtNqrt4WKsF6RjrS/gB6t/sMj
/CcjOroVJy57L+DDYOiEro7DH34kMsFthWOYkmCX3sYpjhUiS2/+w4n186GqvgtLTFW26ViQV376
Li7dULlmx3pQSGN5GScLlgRuVnmyo5h6zR/elH/wMv/bH1c5/gnbQ1MmT8qq9Pe/EnuFOkrpHgns
wcneqEExt7gdi1vdKYZTyeHKqQC/+z/8cf/tuwrkMwfGj8OfmNP5pzNZDIBUtYzFSONa0XnKrCjo
JUdfjdostpGoEiaoxejv/vqX/dZw87s3lXonW47FpVeS7TV/em2Vw3qxu0GHRBLBIWZ7R5zV8pyI
aXzKiZFbtZfY20jyJ7jKM0D0Ph5O6DJ517v3YYoD/UjaarYfUtm0n3gCG8uRqWB6nGYnaq7Y7snI
d/Fp1RvUfw0oAwsE9LQQUtsum/uEoAs8NtIu4OQOnjmWpZ8sbDsxgvFZ6M9139lHMDGlu8UWVwID
mDwOKEfL1X5T5JiPGzvVXH80jNHz6eKKV6p1+GnOfRgaWUApqKFh1ltXXe6MWTPSE8JGVWyZ5gpW
w7pdmmyEKwm+o+w4AcKGqitCnixi91aXh9jfSne9M8aF6m2k/UVssZc66X3NrN35gJ7l+uBiI8oB
qiJksG22OYk1SCnY33RsGf6wgM0+TaDyDmPfhGdOJiwu4yIXatVoaRx9TCL8r6zNug3k3NkdQpXw
Fp+dkCk2hLOLxE/jJlrPnWc52jnOnbDdKKbXdM41ONOwA5tq2jQ07Jp7Enbi1aoxsG7yNltTzuJK
y3kLtXMTpF0RPyQLQOsnLFxhel9WgoIZw2vpFPHYEBd7qIvpdUw4E0dhFVb39dJy+1myNq4ANidg
26bCHd0TV242E7TF0lI4R2mzj5Oe0sdxKOATijCdCNFNpY0tZvDsvU4i8akdjIgYx1J/bgnfaVdx
hSHpypkNBxF4id03lt5N+17WBgfzags0goIwaOSHiLXg8RaKB3y7m4oCOk0Y9jeUYmjiwxgjTny2
HDbqV1mZCQqAzVo/Y1jzeCub9viRu168g0dpgJgaPBrE4yzXWaPorfFWGg7SqxalxKBDIJxXgqDX
1aDLhNzDkkgKCwEAkp7u2rjwl0gW+j0rxq7ahlbCxg+GSkcPganEUcJrprHBbEA9Uc7yxdyR4LWR
03uikzx3QDsk+dx+BRk4NF9SvQxB0hUWVq+wXgbytjboqk7MnzOe3yyseh0nTg/y8InsjV59e979
n0a8urwEQO1ZZHAy6DDLVC/zn988/jf/XLXrH148/vArfb+DGO/osGYoYZ3DBdRUeNd/3UHojsOO
fbllqGfmr1cQplNbx3vO4fEd7vpfvy5zsNeA8mBi5RinMprl0N+4gpjuH5vcPZ37jC1NXarZ6oej
t3LGUVtCI9/OVtJdtVadsgDAds7YVutgirw8IWFulltnGvKrbhaRAWU5mj6yhS9X31pZLJBM9Prr
hewwu1lCsT0FoVl3cseusg9dvJpveVQYW5ZF3YtJ6HgLyVL3oQZ0OyCUsy8d7BKDls0fNEy3fmQa
yxkPwKeh0r8kGHu3OsazrdTqVI1hD1WN7ZWKJZg5vZvvSuItPi5sgEcSrv6mdrXqoM0NJbrNe9pK
aA2V1rZD/90xMFgHAqnpblo4CN0Q7JnsA+pyKXF25i+0ommPWTg/p0X9CbM2O+v6rl4r/TptsEG0
sk3OhgnLJupWhlszw8mph12wDP16orM2PoA0IUYfQttPrUfdowplnw1LREW0jdV4WnIK0BLh7RS/
LApY+gN8N7122LtMRjxWrHDheRuFBJ2ykRsDOqNjJ7a78XrLhErdRWyTOgzfHuXPj0VTP1FWVYWb
KpqbazpD9Q/RahywH8tjsWKr7UPtbdaQpYd8CH1+djoNIxqp+NNs8cZX11NF6taCuXmgceyLmTGF
DoBmw+aYSgMdTq/1Z5BWGXwbVlIsHz+ZoWtQEZwd64z3ipyu5KSJ97HjtBSdoa7jCDTAXlXjocuI
yeUGHCS6wD+ZGqw8QGnZAxoitdZSP822SSNsnsXHvDLCx6Gn4JjYcEiAh+QdYeMS6pwbfmnwu2BX
IsX+XKBqP8QwKgiHZ3ARrG7d8s5N+Pko8NZ1RGuujgDEy+IpMZwM32xc73W8642eyqMuSPxF1BbE
Lp7E1eJgokcHLXL1HH4pOmu6fqBbc8SFm8TtPSt87Tgr43yIgz5WVnratNFK1+6mbIw7Vvo2VLns
OCkDfjOp/pk8a0jtZt6Vg0/fq5POB0FMGZky8ddWAqI7L1+bxYt9Hae/oSz/qTL/FyoG4ObA95pL
NiCcmmepWbdGmH0N3bqBn8tyRapIwaTCBaWKGUAE98jLET3gDG6C2qEebnT68dCTBMBiVrxAuJkD
LhQ9UzJnBvaicW+qcAPml89dqJEzcO1nSqKjXQQLZDNcUhHaSkCC9ZZEmCY0Qfoi2lQjAFcVpmBm
J1fhdSpjwYhF3qJQ0YuBUuurpbbXzz30rpMhck9tTBzoj+Q2aNe2tvUlyjHOzlkbuuLW6qyd3YmA
jOq5VsGPVUVAcjOVh94lYIaxTVDLk7zSQXCe9N472PiGPrZ92SZ3EjSSX5eFPLnZsH6uQdluptVN
rrWOIEqZzgmVo2z9VEjFwOUfUNTn3Mixw/VuLDlCDisNysDKOHtke1e92ShZWzDyPdkdteZRsZhe
BWTCS1YmysN4/nZh/z9+bDp0tUHd4fRkCPagkP/VsXlTtX38XyfM7K/dnwSnsX7++1f8fnzKd4zo
eLstwcMFwA8H1Pfj037HqIFXFGQPw/PvzBC4UyX+CeL6LlZT/vVvI7yFUOuARtWhp/99M8Tl9P5x
mtb55Xkp+DZMWygM9k9miCWsBe8dKg0nqmTOXklCiXoVvMlFbXQ8i6RefEyqrnwqw3k92LTXf9Kk
cK7qovduymXJAva+69X/I+9MmttG0jT8Vzr6Dgf25TAd0dwkkpK1WrZ8QdCWjH1L7Pj18yQku60u
y+0q9sExw0NF2ZIJIpnIb3uXAthmuLCjGrRzo4S4mA3xSNqHTsIYEkSAFw3W0mm6WrssK/TXaqe2
llppp/57iFZwlqoGBYfAiLQPSG9gp4yBgSZWA3owzaqow97Y1CDx1EWaJNXGRvnyi29ncLg1Y4gg
gTgC5BTqyO+5z2bZ591ponCyeKW/i7A1QUFcoLa4tFvbOyFvad4xuHYONOV4BuNBic+EGsThWimN
4k7PTFz/qsSJGB+r1S3e7jFyRMh7ktJHbc6k2fbGaWlFQA4B3tfdqd8P3tsJEq6+CjthXEWV65z4
DJdOzRYctws+FSZnK8kRVV8MD+qAlKPTDcVVp3A8BVZ+63fBTR6gITtlkQOMbkw0/qODQPMmGqdA
VbVlnijShrXX8cXKymWm2skqsdDaSEVt7zVLbSmOmui+zByUebIw8s8oyPq9O2YWc+SaOiQAyHDm
mnV2Vwdq+1EnqhDZOW2uisFPe7gbgwGUVtQKIusaXBffaepiVflM5UU2ii+BZtirqAGTCFrPz05r
yxG4mxipemqgqXMlfNM/R3A/u1FLHeoCu38Vj3V8P4R6i7DF0AEYCfz+Rq19CPlhPrQ30ibpBjyo
eav3nMeLzG/TRYF80B7/EfeOv8xhpUXtRWiN29o+S9QEeFoD31okdrFBqLXaNZpzV8aauCPao9Bk
3EyYFe5MODwnZd8B4KecLBZenvlLP0DebQFBMrvsxtzjbn3xflTTD4GhfinwJA8CZe3An+WMhom+
cKOiOQGVZ1HcdcTrKdJOAs9RTks/qPej8GxsTFU06QgYlwIezInfQJfAaahGfKSq7gxar0pkI51C
DZPF2yibrpRO6d6VODUuUMdIML/Bdn2hCBceTOKqTBPjKF1XFKmL1gChkgor+FQYqTjNMv/DEJTx
e7yysQUymvbCdKbkrA0cTHx67Urx0xXpS1rfM0mHUaes1BxNr3TwtmrGPE71z12321rwiSEM5+Ut
qudBhBiSzVyStYYBhHrSoOrjeeu6/p7EFYVt/JPOEf3LPvpOHL2ja1yteq8oTjRkUe9Gx4lPKhEZ
QJzbXYRdNkgXOuVKF4z3RWGI68yk7tunLcT/BYJX1SJr2v7GNiKcqyxFtRkGq+5pN7jMNApELm8N
P7iGBgMOSTMH9SIrDO0DQuzedTGo+XnLG0PCQGXd4ERAmYn2xj60S7QpIbolE7NL6Z9E/9E6AU4Q
3umK1blLV1otJdJ0CUEZ/Jf82YuptEmDV9Xs0dRIuyYS0ByZQ7g1ACggAOqCEXIsLZ5SV7o9qQhm
id04u0Bl0hAKPxq8odK2d50tqaApTopK+ke1fdmVm+LJVyq2DJoEhq8wlHEHcyuQmltDfaFRP0Ku
U9GJRY53AScN/UpEgNTFiFQLCH3AZ5sAQ9eKObnNLkEhoPuiAUAAt6t5XXBQa506ofFSZ5v7jW6d
AuRFQxkskNA2phpW1gYNqNH4wPNT2nhZRJQNKnOiM6r2Dl/2jgnE/4/UgO64CmhNDgfJDyR28fWK
+vowHbroW25A2/6bfYpkg/zhnZ5SAlsjutPDVYEzmsCRwDN+TQnsNzrNfMNj1u6AeJSt+68ltfMG
QoqrI0SqYkf3Ah/JxJeOJXNMYLieDabxz5TUGLpQMn/XC2Uu7EBukULqTHEdmuwvS2pdwTRqSq1g
MwyyVoQOWSfgYMqOjYdz6BadCzVcTblU2MCe10UOrse/dNNkCpg7GwtU6JNKJAbGu1X5IWf++MHS
6+5Mb9mrW8NBdgG0StTc+E5NPVJYhk51hLGzi8xU44HIC6pbhg6wVGGeBohgXVg9uuARHcZ931m9
dMDttaUuhL9Lo8BK16NFTeR2o2luBFdZ1FqGIdPQBltY3G4O96TL3ZWdIOi+CLFDuTaqwH5AoikJ
V7ni1beWUIBUGFk3IcYGfGLVDaX3KYiDcAmAUIWSHGbgG/NiK+jzbqZc5KcYpMSrMkNJD8pGvxet
rZ+WwMsLoCyUcCHZzGoUgp6yscNyG/B7OxlrvkMwPj3/h3UOLJ3B1VEhK1FFUZowuhWNH1802LBs
zKYctq7aGXsFHNMm6SPnIoKgeI7DC0+v3Uc3kRSZcuGSoaulTnsvBHvWRIC/RSnsE3p1NM2LCkhM
M+1AWIm1WRkMVLvJP0s9x790RV4ezETVL6pOsy4DBgGLmm/mAi8bc183VX8x1Gq3CAvNe58zidq4
CAcu4UjhHgrsjJZeTIexSXz4KA1Va1GrSObeG+5IWzdAIxrxtzuByNqi93sNilufbHFHT7ZmEoXr
fHTKL2VbpJdaYcV3iT0F99jcTTs02sdrNxIOZbHprLuhJ36m2ie8Ammg+2Del0CWUMANAv3KxuqO
dra/q70BRynTzpdNmFjXVhP77xQci5QlzA/9SgDqJ2xnKgNwMRSUXkgixIyMT8mMlGUPNQkcKWrl
N26n6pLXp39uhjBYagChsNBWyYv0IIDXC6oFtg0Ub0Wt0g+JFY1nBaDJt9PQgHkcwYXu4AhCVsLo
hgeC5jilsXvqM7Dfa7WBNH+p6PskMMJPVWPmGyPVsSQz4WgkYfWWtLDdIwU8acsRnC21a6icgHJv
TjJAc2sZPElwbTCioZqCGSMBKkcj+zSMEGC0SPGXCAFobz3AY3QfmBrvIcE45wEOF+s+SsMtFuzk
0aPpChy8qXsRMkl3aNJ6qwrQBl+Zmr3VFXUpiuJ6NDOYBOV14VbLKPHEHhqz+FAGNBGGdd5A/Vjl
GZ3nMzzGvH6X6ma3wqkxX6qGojdX3lh4CLRNJeh9eJo7kELZeTJGo8fkPrSUlQ47ygV0OFNY80Qg
lh6o3n2DTib8cczabACI3fhFDUnPt0M+fZq00XswpQqaN/YS6YAFzVnS44DJrjS3HX0/fW3ADbtE
r029iqfJvdbERDETNaHzpUUH4K0oAd2tvBTW+gLBt26FurQH/z1q9sCm67WmUnhnWeVsQt2IlgAj
xR1FmUWfpTEvYTu5uzpsgEIGSroRVh70KzZBuQrDoToRKNrHCzxmustYd/s1YnLaY8CECeWDUEd4
KbPK+zSDIUyXx2lyugS2AHndZfRdwvDeiAsLX2wPeeaFQYviwVFgqIRJo9JMy/TmLikj/Ako2xBu
FFNqYP/kO2AbrAbCfpxiMpGVbnsjYYkw3bDTgSrYaaiyoV7ZVie2PiBknCLUvqs6fRrWkA1pedUt
gGf8q4ZTp22gyaijuUFFViGtqMY7owVjV6Qn0aSYdxyb3ak5Vz/pXAm1c1XE7qVCqudqKU6L6nYM
Wbws8zJaVUVV3FVzjRXJcgu1OiovRxZhLqqs78ZggqrzVKNp5ZAtgdHuEg81io5aDgWQBjI15d30
VOlRNUTMQ6KKIoxSEP+BctPM9WERORjX9HPd2M81JFJ11JOKLktLWWQ6dkq9WWocD4jBF9aykgVp
Hvf0w5y5TiUppO8pi1d8XkeqvYqKFiY6fdcA1x6J7ZygMzcUv2rkvfVlQZx6xvhhSqqJHirlMl3E
DJJ7wrbL8Zg8C3UMHDgEh+bMmpOteE68kPUyz/Q5HYvm1AzJdNI0a07ZlDl9M+ZUrpjTulZmeNqc
7NF1IPHT5yRwiIvuC9IopIZ9kJImJklfbKIB8A4eC23CAZ6V/hrRK5xko6bllA/q3Bk3lcxA4XyZ
qFDJtBQzEz6lh+cpWqPSI1VrkGKFnNQNIFp1XFRFWHt3IVbeRGzpsiqk32olnVfFpNoXtSPM4iap
7f5OoUxlAmmhKbaIpXdrzLmmLkfp6OrP5q6pjs8r4oktD07tRtMunq1gCzqYPiWrtIgtR9xiw9k4
lvpouu0juGG19JUFKCktZj1pN9uJUTsBsOK+BeUrPa5ma9oOFO+pCW/vvvLywF6CYMbGFkOV6VpA
F38sBSC6Fers+Ue371pavUHGI2eGISDnwsflE9ZbBPY543Hb4EKGha43dsb7yg+kpK1CpgQyOGrl
2NRJbwKyvbM+NSwIED2TQ4ryVO9oblLgTqgYZmvXDwK+gTqWeCr66sBhSUPCL2hxYZgxKlZ7XzF6
gC6Ju2pCL5fW0H7A2WrR50aEYaQQWnZZD0W/dVscY0YbEZ6y9bFiqC1NfA5Ao1K3xHV1ZaO6i9qz
EUJ7t8BHnGmd2oidg1rneG5jqoYcRAOgnLz/Ig2Spka5bGyxzhqVKsPpqwauGocq7YhAC9XzXKAS
7HtZgP8a/XJlkdudSTdk4CFZoj9lTXASGCBt0z7so9Oo6uitqzkzd0Tt0bLVfBvHXtwIpA+KgS3Q
woxE+U5Nx+EqM8PhMGTVdNDbqupOhZUxO86ZxVLdj5BOxjhrL5lbT7f0VNu1Vnuwe2tAzAtUXkq+
EwMHm9wQmo9YaO+ucfVIm2XepBPPtpH571s9q5pdjUkFHD+bD4G6TWd9Svws2zTVQI0sIpDGat53
n/IIX7EJf8130oasXAGNaPZBOeEggPhuuHKm1v1YB8jDZZ2BabrnoxJDSCKQ6I7yGVKLc4eiGWML
pCZu7d4W9wIeSrqoSl3c5CPdC/AbFhbMyRg0yzBE6oJHRTuk5dRQH/PtWOYVHGPw9DBNGIaP+K9e
V4AhLqpgqNHcC0fbWY/ojKBhITvUjdpcFZBFh8XgOtqNSm7sQ8EsHJe7tYcNDKYGFTllQjmkwCJn
IfoxDldqn0+fI6HWH5EgxuJIKybxOILfvYQUbNypCgTCt6rdJp+LTkLqciNwvX0ium4bMWmX0vpl
qj2MmDijmuepDZ5BtevtshDcsZn0PEtzcfV/vNnsIIQJNB6wFf1cQLE/bTbfoET5H5vNP3jH58pS
fcNE1aVxTGebiZtUxPzWbDaBTSFoa4D6hvRGUfe1srRABcPT8xzENA2UEL5DBasMa3WKTlIbULIa
GNk/Maw1DC7/b5WlTn1LTKHisXVACC8ryya144bnhQ5aGNeXdgLDq0yAU+ZFgaQLBhScfFqtXOVe
h7txQd/5tEBK6Way9NjbGEWB0XrUOKdRQK9qHaN5sG17LdxC681AnjdegZqUY38cFbM5oLWdvweM
geNUNaKBiOmENl3S0xH7EuQc6mWtfVsp0hTU4phzRkqpJPZIgvumX1sFjBIQHbW6azIExFq8NM+V
ocWUojHhdbQBrktaZ3GOU6YtW2sU70snPo+LtDWAUGIQNfnQ4awpmj62BkZ6lK/u/ZSJ5hxxfIfp
pajOwTZBklDMBHG0Vq1zDWJasBrCVnxQQdrGcFnw6V7h2qtspBkkh2kvVmkyoGlOUwtGHwBTqCxm
xLyYyVYj1qpeEbgykQPH8JFFOY31BjvyUgtO4wzhqQE0zfveGKZ9aZIHGD66v31SQcVGKB3tFXg7
W9CgZnY7BH4yvNMDhGMWWtvHjwmD7fMaOsCXiV7aLk5d1ya9q8bwGoRrS3Y0VYO1VoTANkM0RDYI
2p2WvaOb6yqXSZBOTQR4GToCXElme2+DBuPsFlWBEjtjj5QzhvbgTO+mxiWz9xIH/YIWRshd1buV
y9DcU4KPGgzldAmYd4SUkqlk843lRys7DhRlV7hNfaHYCFvQnWwD+vMTjdtxMzmJ02/VuWkxZvkU
rlrZy0A+uFXReFYFHCYfT3EcquTBlcszDNUwb0eMbfPlNB9ygS4PvHg+/Cgpu20xH4lF7nC+a/Kk
1OZDkz8bd5C1jUtdnqnVfLzG8qRVa0DEVJdRuPLmo5hYyrEMG5sTej6ro9F2sfeWR/goT/MeQ58B
y+6iuQoTJJDsoNRv0zkEiDkcRJqlX3BsW9cipn+xtOfQMdbApTIZUiY/1A4w+salWVpKvdRVxcQY
SwYiIUNSPUcnxGrE/ShD1iSDl6kFLqr8BLT8KbYVgN/pfK5cJzSorDPY/TIQYnwSrsI5OvoyUFpB
RMxUZfiEbkYglSGVbIAHDMVyaDcy5IoxsD51cxx2kxH6WTfHZzu1vPdo/RO1CVBE8M4r3TW9Y+I6
+lXEeFWGe5Q6HGcRunGBuioKFGESqLcVU4RLzMgLSOxz5iALqxMfmx0myZY5HWBMDgdX84ar3jak
JsOALVXv+OQjVtkh/poag7Kq684zmNsja7YMfb2NTlutcZxtooPuXPZztgPkhMxHnbMgZc6ICpkc
hTJNQm+RO7Xm7CmcMynMvsiqwlJAMcD4J7nwvcTbOjIBy2PXGs8HhgRiV9VKOiIv7CL5H6W5v+kA
8F2Fcz5XG5n43Gjohq00AdHXkakfDYx+Wyr1lF0GU0Bu2ECWXCDkp+5THieSxwqmO5P5OascZIKZ
w5rUr4jOyKItu6wUyo2NLWaw6mOnZEY1+EX6Oe489F/dSAMu5lp+RVqA69hZKFlX+HK1nUFFE8s2
uzdgkbNoalTcT7rCFB13aZmkvlnvL0wPsu8yYpyvPEx9NZw4g1fHD3SzEUtbWopmjAYAl8AZFhYp
8LWbqE6xpjGqrGJ/8vJ1ZIFtu0Zv3NLv6FxY70i5UKA3lFJtVz2jBfPOQ1Rh18B7mE6ieDQivJsp
1ldBiePILQFClz4lXY/IAj2MTBmntQedAbWZTMPftM0ZPn52UEup31Vux+c9YfqJmNpQWpe0NpPx
Apv3CkYvUy2xTAJUG6EJ6hADEFjW4KlqmnlfWhTH511vBuOVS6NdXAsAielm8H3hv/VCt9LusmTS
17pR1/VVlWdIvArVCa5zSvLubW0Z2igWtHWpdMG4WjeJ6sHWBWza5WAfgdFcRIOlmjs7LOLwk1LE
3YcotpQUuTx0KX6fBOs5y1sdmgN9IUzGr9pHMV4/1mg61F+zCvnTyyLKm1sgMn/ll37+Rs/9+dux
fPyfv39GeLCRnyCIivz71j3A+n9r+s8faf68P3uH9MAnbh94a0N/Ay3L0umDPr/+/rcUWfrnH1sm
M3wThJxmqPOLjIshw3cr9Noa/Pz2nhbz57/z4gYOD1mUr1DNEtHn5vslAJfgOTZYuxezj1eW4d/e
5V/LgC2r5WiuBeXg5f07bwx8koBDIAUvX09Dlt/o/sFjqNz/0/fyRE34tjX/uA9eXQAD8IfEP6JV
8rQPyLq/2wem8wYWBksBbm1+/Xb7YF4HJDeO3AiAVgxKWkmO+NE6WNobl7kV0y1KpPn1uz0PcvRG
icTkDZIHWQKTtmOXxHwjKzSw689bA1jt91vDZtzH6mv21yPkd1uS563xi0flq48IlCTqThd/NIkw
lq8X62Cxcwx8HkBJPb14gn6vo1JTkRIAknX8fmAdqMCfnxDv5VHBI6LCpoWl+hwygJH9Xutge+xn
KehzVMgwjDeQujRIXkAm5Ys3/O6xsPQ3NDF4KKAlza8nwPtvFDlYBskFO3YZ8FeR438YUN+2/XfL
gDEL2kWeY+jPP37qKf1Oy0Cny9GPTSAMyAIaPW6wEC+3AQFD8h1AQfym2+D5VDg6cErpK0nvQOzh
R4+D+cZms0EDfT4ef7vTkUQSHMvRywAHBTAODUwyxZfPAdvABULzvA/+xHPwCw/Lt7JkGUbpw1yQ
RI/1j+qW137hay7+x58/5+HbB+RcqTde/KKsT56u/TgXQfLP/3gRQeda4bsffq0d5us8//PnG/zj
pV9c6+tdff3L0+hRHMTncJx/MD5/zLeHjLLmFt7yKwhoIMlPz/u/PtT//P3FR/7uRPzZNfZhO70u
g/FtOx19mUdMYH9s8/Gt9jn2GqeH7PDw6kUgbnkEt2MvchKlr1/iKRIde4nNQdQ/ZI3JkM/E4Pib
2NZfcOR97et4ziuOvY33bKu//XN6FJ8O0WsOaJABLAjIx9/RWSFe38XPqTMlxLH3dPOY5a+s2/NF
/gtb7PwgksP0U4NkjuVjb+UcLGX+cHjtgHm+HSLJsRf66xbQ3w7jv3a0neJeinHHz7+v/8Leu6Gh
w0VYzb8tDmn7OfxPO1Hmaceu6j/Fw+FTlP7wnJi/u7mbcuxVfs288Mjv6f4wPbxyH3Op91/Yg1fF
z6RUZTF57Er9mo/VkSv1y5r7R17nV6Rnj7zEr6pvHXmZX1R/OfIq+yIMIqAij0+HgLSy/ds/Q7KR
n2xrl5r12E23n7OqOjyEP7zQD7tox15zffjPYR16O3029M5oxNJKwpKNevLYC/9pOv2RX+pf5iEe
ed0/TXI48np/GQLz0+v+qBr6NnL5Y430dZTyo3/2sgCUv/E5fTyIf/wvAAAA//8=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n w="12700" cap="flat" cmpd="thickThin">
                <a:gradFill flip="none" rotWithShape="1">
                  <a:gsLst>
                    <a:gs pos="0">
                      <a:srgbClr val="2E7D32"/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  <a:prstDash val="solid"/>
                <a:round/>
              </a:ln>
              <a:solidFill>
                <a:srgbClr val="00B050"/>
              </a:solidFill>
            </a:defRPr>
          </a:pPr>
          <a:endParaRPr lang="en-US" sz="1800" b="0" i="0" u="none" strike="noStrike" baseline="0">
            <a:ln w="12700" cap="flat" cmpd="thickThin">
              <a:gradFill flip="none" rotWithShape="1">
                <a:gsLst>
                  <a:gs pos="0">
                    <a:srgbClr val="2E7D32"/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prstDash val="solid"/>
              <a:round/>
            </a:ln>
            <a:solidFill>
              <a:srgbClr val="00B05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308247</xdr:colOff>
      <xdr:row>5</xdr:row>
      <xdr:rowOff>32469</xdr:rowOff>
    </xdr:from>
    <xdr:to>
      <xdr:col>17</xdr:col>
      <xdr:colOff>208969</xdr:colOff>
      <xdr:row>30</xdr:row>
      <xdr:rowOff>41665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D03DBDD-C37B-7014-0E64-673F8A27653A}"/>
            </a:ext>
          </a:extLst>
        </xdr:cNvPr>
        <xdr:cNvGrpSpPr/>
      </xdr:nvGrpSpPr>
      <xdr:grpSpPr>
        <a:xfrm>
          <a:off x="5352472" y="966187"/>
          <a:ext cx="7241680" cy="4774379"/>
          <a:chOff x="5356860" y="228600"/>
          <a:chExt cx="6352025" cy="4486459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60C4CABC-A27E-B033-349D-615619C5B28B}"/>
              </a:ext>
            </a:extLst>
          </xdr:cNvPr>
          <xdr:cNvGrpSpPr/>
        </xdr:nvGrpSpPr>
        <xdr:grpSpPr>
          <a:xfrm>
            <a:off x="5356860" y="228600"/>
            <a:ext cx="6352025" cy="4486459"/>
            <a:chOff x="5280660" y="274320"/>
            <a:chExt cx="6352025" cy="4023848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4290AC56-94E8-078C-1C13-25812C7C3497}"/>
                </a:ext>
              </a:extLst>
            </xdr:cNvPr>
            <xdr:cNvGrpSpPr/>
          </xdr:nvGrpSpPr>
          <xdr:grpSpPr>
            <a:xfrm>
              <a:off x="5280660" y="274320"/>
              <a:ext cx="6348462" cy="2308860"/>
              <a:chOff x="5250180" y="320040"/>
              <a:chExt cx="6348462" cy="2308860"/>
            </a:xfrm>
          </xdr:grpSpPr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125728AC-ACD3-7242-C518-BE7FBCF8096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50180" y="320040"/>
              <a:ext cx="6347460" cy="230886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53E0ACF0-4262-6B9E-3C76-C7F82B02702F}"/>
                  </a:ext>
                </a:extLst>
              </xdr:cNvPr>
              <xdr:cNvSpPr txBox="1"/>
            </xdr:nvSpPr>
            <xdr:spPr>
              <a:xfrm>
                <a:off x="11140441" y="1076955"/>
                <a:ext cx="458201" cy="23665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fa-IR" sz="1200" b="1">
                    <a:solidFill>
                      <a:srgbClr val="7F7F7F"/>
                    </a:solidFill>
                  </a:rPr>
                  <a:t>2020</a:t>
                </a:r>
                <a:endParaRPr lang="en-US" sz="1100" b="1">
                  <a:solidFill>
                    <a:srgbClr val="7F7F7F"/>
                  </a:solidFill>
                </a:endParaRPr>
              </a:p>
            </xdr:txBody>
          </xdr:sp>
          <xdr:sp macro="" textlink="">
            <xdr:nvSpPr>
              <xdr:cNvPr id="6" name="TextBox 5">
                <a:extLst>
                  <a:ext uri="{FF2B5EF4-FFF2-40B4-BE49-F238E27FC236}">
                    <a16:creationId xmlns:a16="http://schemas.microsoft.com/office/drawing/2014/main" id="{82A056E2-E048-47F3-8FC4-165D4F6F055D}"/>
                  </a:ext>
                </a:extLst>
              </xdr:cNvPr>
              <xdr:cNvSpPr txBox="1"/>
            </xdr:nvSpPr>
            <xdr:spPr>
              <a:xfrm>
                <a:off x="11112061" y="1750259"/>
                <a:ext cx="471250" cy="23665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fa-IR" sz="1200" b="1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rPr>
                  <a:t>2021</a:t>
                </a:r>
                <a:endParaRPr lang="en-US" sz="1100" b="1">
                  <a:solidFill>
                    <a:srgbClr val="00B0F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F9BC1A37-7F9B-B57F-BB44-572CB04A29E9}"/>
                </a:ext>
              </a:extLst>
            </xdr:cNvPr>
            <xdr:cNvSpPr/>
          </xdr:nvSpPr>
          <xdr:spPr>
            <a:xfrm rot="5400000">
              <a:off x="8442896" y="-540702"/>
              <a:ext cx="38821" cy="634075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5" name="Text Box 1">
              <a:extLst>
                <a:ext uri="{FF2B5EF4-FFF2-40B4-BE49-F238E27FC236}">
                  <a16:creationId xmlns:a16="http://schemas.microsoft.com/office/drawing/2014/main" id="{6B1EEAD3-8755-0507-FDB4-08823D89E09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18760" y="2657684"/>
              <a:ext cx="6313922" cy="164048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US" sz="1600" b="1" i="1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B Nazanin" panose="00000400000000000000" pitchFamily="2" charset="-78"/>
                </a:rPr>
                <a:t>Insight</a:t>
              </a:r>
              <a:r>
                <a:rPr lang="fa-IR" sz="1600" b="1" i="1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B Nazanin" panose="00000400000000000000" pitchFamily="2" charset="-78"/>
                </a:rPr>
                <a:t>:</a:t>
              </a:r>
            </a:p>
            <a:p>
              <a:pPr algn="l" rtl="0">
                <a:defRPr sz="1000"/>
              </a:pPr>
              <a:endParaRPr lang="en-US"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endParaRPr>
            </a:p>
            <a:p>
              <a:pPr marL="0" indent="0" algn="l" rtl="0">
                <a:defRPr sz="1000"/>
              </a:pPr>
              <a:r>
                <a:rPr lang="fa-IR" sz="1200" b="1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a-IR" sz="1600" b="1" u="sng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800" b="1">
                  <a:solidFill>
                    <a:srgbClr val="00B0F0"/>
                  </a:solidFill>
                  <a:latin typeface="+mn-lt"/>
                  <a:ea typeface="+mn-ea"/>
                  <a:cs typeface="+mn-cs"/>
                </a:rPr>
                <a:t>2021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 maintained higher monthly sales through the first three quarters.</a:t>
              </a:r>
              <a:r>
                <a:rPr lang="fa-IR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 _</a:t>
              </a:r>
              <a:r>
                <a:rPr lang="en-US" sz="1800" b="1">
                  <a:solidFill>
                    <a:srgbClr val="7F7F7F"/>
                  </a:solidFill>
                  <a:latin typeface="+mn-lt"/>
                  <a:ea typeface="+mn-ea"/>
                  <a:cs typeface="+mn-cs"/>
                </a:rPr>
                <a:t>2020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 experienced consistent month-over-month growth.</a:t>
              </a:r>
              <a:endParaRPr lang="fa-IR" sz="18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endParaRPr>
            </a:p>
            <a:p>
              <a:pPr marL="0" indent="0" algn="l" rtl="0">
                <a:defRPr sz="1000"/>
              </a:pPr>
              <a:r>
                <a:rPr lang="fa-IR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_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By </a:t>
              </a:r>
              <a:r>
                <a:rPr lang="en-US" sz="1800" b="1" u="sng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rPr>
                <a:t>October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, </a:t>
              </a:r>
              <a:r>
                <a:rPr lang="en-US" sz="1800" b="1">
                  <a:solidFill>
                    <a:srgbClr val="7F7F7F"/>
                  </a:solidFill>
                  <a:latin typeface="+mn-lt"/>
                  <a:ea typeface="+mn-ea"/>
                  <a:cs typeface="+mn-cs"/>
                </a:rPr>
                <a:t>2020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 overtook </a:t>
              </a:r>
              <a:r>
                <a:rPr lang="en-US" sz="1800" b="1">
                  <a:solidFill>
                    <a:srgbClr val="00B0F0"/>
                  </a:solidFill>
                  <a:latin typeface="+mn-lt"/>
                  <a:ea typeface="+mn-ea"/>
                  <a:cs typeface="+mn-cs"/>
                </a:rPr>
                <a:t>2021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 and ended the year at $86K, more than double </a:t>
              </a:r>
              <a:r>
                <a:rPr lang="en-US" sz="1800" b="1">
                  <a:solidFill>
                    <a:srgbClr val="00B0F0"/>
                  </a:solidFill>
                  <a:latin typeface="+mn-lt"/>
                  <a:ea typeface="+mn-ea"/>
                  <a:cs typeface="+mn-cs"/>
                </a:rPr>
                <a:t>2021</a:t>
              </a:r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rPr>
                <a:t>'s $41K.</a:t>
              </a:r>
            </a:p>
          </xdr:txBody>
        </xdr:sp>
      </xdr:grpSp>
      <xdr:pic>
        <xdr:nvPicPr>
          <xdr:cNvPr id="13" name="Graphic 12" descr="Arrow: Straight with solid fill">
            <a:extLst>
              <a:ext uri="{FF2B5EF4-FFF2-40B4-BE49-F238E27FC236}">
                <a16:creationId xmlns:a16="http://schemas.microsoft.com/office/drawing/2014/main" id="{71EE450D-1C28-1263-F016-72C0F0C3F8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 rot="16200000">
            <a:off x="9926100" y="1215390"/>
            <a:ext cx="426720" cy="266700"/>
          </a:xfrm>
          <a:prstGeom prst="rect">
            <a:avLst/>
          </a:prstGeom>
        </xdr:spPr>
      </xdr:pic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98B62317-D547-3CC7-AFB9-FA412AF1AD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2070" y="982980"/>
            <a:ext cx="922020" cy="281940"/>
          </a:xfrm>
          <a:prstGeom prst="rect">
            <a:avLst/>
          </a:prstGeom>
          <a:noFill/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rPr>
              <a:t>Trend Reversal</a:t>
            </a:r>
          </a:p>
        </xdr:txBody>
      </xdr:sp>
    </xdr:grpSp>
    <xdr:clientData/>
  </xdr:twoCellAnchor>
  <xdr:twoCellAnchor>
    <xdr:from>
      <xdr:col>17</xdr:col>
      <xdr:colOff>372305</xdr:colOff>
      <xdr:row>5</xdr:row>
      <xdr:rowOff>46452</xdr:rowOff>
    </xdr:from>
    <xdr:to>
      <xdr:col>29</xdr:col>
      <xdr:colOff>376716</xdr:colOff>
      <xdr:row>30</xdr:row>
      <xdr:rowOff>61060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62CD8F9-BA27-37C8-F119-A1F3F795713A}"/>
            </a:ext>
          </a:extLst>
        </xdr:cNvPr>
        <xdr:cNvGrpSpPr/>
      </xdr:nvGrpSpPr>
      <xdr:grpSpPr>
        <a:xfrm>
          <a:off x="12757488" y="980170"/>
          <a:ext cx="7345369" cy="4779791"/>
          <a:chOff x="5273040" y="4511040"/>
          <a:chExt cx="7200900" cy="5029941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596D4A12-33FC-FC56-3044-D834E18FFA6E}"/>
              </a:ext>
            </a:extLst>
          </xdr:cNvPr>
          <xdr:cNvGraphicFramePr/>
        </xdr:nvGraphicFramePr>
        <xdr:xfrm>
          <a:off x="5280662" y="4511040"/>
          <a:ext cx="7193278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74BFC8ED-4FD5-4875-A27E-19064B4F52C7}"/>
              </a:ext>
            </a:extLst>
          </xdr:cNvPr>
          <xdr:cNvSpPr/>
        </xdr:nvSpPr>
        <xdr:spPr>
          <a:xfrm rot="5400000">
            <a:off x="8846819" y="3718564"/>
            <a:ext cx="60961" cy="71932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Text Box 1">
            <a:extLst>
              <a:ext uri="{FF2B5EF4-FFF2-40B4-BE49-F238E27FC236}">
                <a16:creationId xmlns:a16="http://schemas.microsoft.com/office/drawing/2014/main" id="{D3BC187C-3CDF-4651-B88C-40A97BD180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73040" y="7362030"/>
            <a:ext cx="7193280" cy="2178951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US" sz="16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rPr>
              <a:t>Insight</a:t>
            </a:r>
            <a:r>
              <a:rPr lang="fa-IR" sz="16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rPr>
              <a:t>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Calibri"/>
              <a:ea typeface="Calibri"/>
              <a:cs typeface="B Nazanin" panose="00000400000000000000" pitchFamily="2" charset="-78"/>
            </a:endParaRPr>
          </a:p>
          <a:p>
            <a:pPr marL="0" indent="0" algn="l" rtl="0">
              <a:defRPr sz="1000"/>
            </a:pPr>
            <a:r>
              <a:rPr lang="en-US" sz="1800"/>
              <a:t>• Monthly sales differences remained positive from </a:t>
            </a:r>
            <a:r>
              <a:rPr lang="en-US" sz="1800" b="1" u="sng">
                <a:solidFill>
                  <a:srgbClr val="2E7D32"/>
                </a:solidFill>
              </a:rPr>
              <a:t>January</a:t>
            </a:r>
            <a:r>
              <a:rPr lang="en-US" sz="1800"/>
              <a:t> through </a:t>
            </a:r>
            <a:r>
              <a:rPr lang="en-US" sz="1800" b="1" u="sng">
                <a:solidFill>
                  <a:srgbClr val="7F7F7F"/>
                </a:solidFill>
              </a:rPr>
              <a:t>September</a:t>
            </a:r>
            <a:r>
              <a:rPr lang="en-US" sz="1800"/>
              <a:t>.</a:t>
            </a:r>
            <a:endParaRPr lang="fa-IR" sz="1800"/>
          </a:p>
          <a:p>
            <a:pPr marL="0" indent="0" algn="l" rtl="0">
              <a:defRPr sz="1000"/>
            </a:pPr>
            <a:r>
              <a:rPr lang="en-US" sz="1800"/>
              <a:t>• </a:t>
            </a:r>
            <a:r>
              <a:rPr lang="en-US" sz="1800" b="1" u="sng">
                <a:solidFill>
                  <a:srgbClr val="C62828"/>
                </a:solidFill>
              </a:rPr>
              <a:t>October</a:t>
            </a:r>
            <a:r>
              <a:rPr lang="en-US" sz="1800"/>
              <a:t> marked the first negative year-over-year difference.</a:t>
            </a:r>
            <a:endParaRPr lang="fa-IR" sz="1800"/>
          </a:p>
          <a:p>
            <a:pPr marL="0" indent="0" algn="l" rtl="0">
              <a:defRPr sz="1000"/>
            </a:pPr>
            <a:endParaRPr lang="fa-IR" sz="1800"/>
          </a:p>
          <a:p>
            <a:pPr marL="0" indent="0" algn="l" rtl="0">
              <a:defRPr sz="1000"/>
            </a:pPr>
            <a:r>
              <a:rPr lang="en-US" sz="1600"/>
              <a:t>•</a:t>
            </a:r>
            <a:r>
              <a:rPr lang="en-US" sz="1600" b="1"/>
              <a:t> </a:t>
            </a:r>
            <a:r>
              <a:rPr lang="en-US" sz="1600" b="1" u="sng">
                <a:solidFill>
                  <a:srgbClr val="C62828"/>
                </a:solidFill>
              </a:rPr>
              <a:t>December</a:t>
            </a:r>
            <a:r>
              <a:rPr lang="en-US" sz="1600" b="1"/>
              <a:t> </a:t>
            </a:r>
            <a:r>
              <a:rPr lang="en-US" sz="1800"/>
              <a:t>recorded the largest decline </a:t>
            </a:r>
            <a:r>
              <a:rPr lang="en-US" sz="2000" b="1">
                <a:solidFill>
                  <a:srgbClr val="FF0000"/>
                </a:solidFill>
              </a:rPr>
              <a:t>(</a:t>
            </a:r>
            <a:r>
              <a:rPr lang="en-US" sz="1400" b="1" i="0" u="none" strike="noStrike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-$45,000</a:t>
            </a:r>
            <a:r>
              <a:rPr lang="en-US" sz="2000" b="1">
                <a:solidFill>
                  <a:srgbClr val="FF0000"/>
                </a:solidFill>
              </a:rPr>
              <a:t>).</a:t>
            </a:r>
            <a:endParaRPr lang="en-US" sz="1600" b="1">
              <a:solidFill>
                <a:srgbClr val="FF0000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181779</xdr:colOff>
      <xdr:row>5</xdr:row>
      <xdr:rowOff>45810</xdr:rowOff>
    </xdr:from>
    <xdr:to>
      <xdr:col>29</xdr:col>
      <xdr:colOff>371865</xdr:colOff>
      <xdr:row>45</xdr:row>
      <xdr:rowOff>135730</xdr:rowOff>
    </xdr:to>
    <xdr:grpSp>
      <xdr:nvGrpSpPr>
        <xdr:cNvPr id="1027" name="Group 1026">
          <a:extLst>
            <a:ext uri="{FF2B5EF4-FFF2-40B4-BE49-F238E27FC236}">
              <a16:creationId xmlns:a16="http://schemas.microsoft.com/office/drawing/2014/main" id="{4DB34057-4542-2265-4322-6667C2F44ED6}"/>
            </a:ext>
          </a:extLst>
        </xdr:cNvPr>
        <xdr:cNvGrpSpPr/>
      </xdr:nvGrpSpPr>
      <xdr:grpSpPr>
        <a:xfrm>
          <a:off x="5226004" y="979528"/>
          <a:ext cx="14872002" cy="7602596"/>
          <a:chOff x="5435900" y="1091406"/>
          <a:chExt cx="14766826" cy="7716507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C56D52AC-7B3B-13B2-CCBD-D0E28AB79A4C}"/>
              </a:ext>
            </a:extLst>
          </xdr:cNvPr>
          <xdr:cNvGraphicFramePr/>
        </xdr:nvGraphicFramePr>
        <xdr:xfrm>
          <a:off x="5435900" y="5968383"/>
          <a:ext cx="7348698" cy="28118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3042EF6-F411-47AD-AE29-49F7758EB148}"/>
              </a:ext>
            </a:extLst>
          </xdr:cNvPr>
          <xdr:cNvSpPr/>
        </xdr:nvSpPr>
        <xdr:spPr>
          <a:xfrm>
            <a:off x="12795460" y="1091406"/>
            <a:ext cx="83551" cy="4786267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 Box 1">
            <a:extLst>
              <a:ext uri="{FF2B5EF4-FFF2-40B4-BE49-F238E27FC236}">
                <a16:creationId xmlns:a16="http://schemas.microsoft.com/office/drawing/2014/main" id="{86865787-2931-4BE0-9CE5-1C6EF74C20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91436" y="5976555"/>
            <a:ext cx="7311290" cy="2831358"/>
          </a:xfrm>
          <a:prstGeom prst="rect">
            <a:avLst/>
          </a:prstGeom>
          <a:solidFill>
            <a:srgbClr val="FFFFFF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US" sz="16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rPr>
              <a:t>Insight</a:t>
            </a:r>
            <a:r>
              <a:rPr lang="fa-IR" sz="16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B Nazanin" panose="00000400000000000000" pitchFamily="2" charset="-78"/>
              </a:rPr>
              <a:t>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Calibri"/>
              <a:ea typeface="Calibri"/>
              <a:cs typeface="B Nazanin" panose="00000400000000000000" pitchFamily="2" charset="-78"/>
            </a:endParaRPr>
          </a:p>
          <a:p>
            <a:pPr marL="0" indent="0" algn="l" rtl="0">
              <a:defRPr sz="1000"/>
            </a:pPr>
            <a:r>
              <a:rPr lang="en-US" sz="2400"/>
              <a:t>•</a:t>
            </a:r>
            <a:r>
              <a:rPr lang="en-US" sz="1800"/>
              <a:t> </a:t>
            </a:r>
            <a:r>
              <a:rPr lang="en-US" sz="1800" b="1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rPr>
              <a:t>2021</a:t>
            </a:r>
            <a:r>
              <a:rPr lang="en-US" sz="2000"/>
              <a:t> </a:t>
            </a:r>
            <a:r>
              <a:rPr lang="en-US" sz="2000" b="1">
                <a:solidFill>
                  <a:schemeClr val="tx1">
                    <a:lumMod val="95000"/>
                    <a:lumOff val="5000"/>
                  </a:schemeClr>
                </a:solidFill>
              </a:rPr>
              <a:t>achieved a higher average monthly sales level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than </a:t>
            </a:r>
            <a:r>
              <a:rPr lang="en-US" sz="1800" b="1" i="0" u="none" strike="noStrike" kern="1200" spc="0" baseline="0">
                <a:solidFill>
                  <a:srgbClr val="A6A6A6"/>
                </a:solidFill>
                <a:latin typeface="+mn-lt"/>
                <a:ea typeface="+mn-ea"/>
                <a:cs typeface="+mn-cs"/>
              </a:rPr>
              <a:t>2020</a:t>
            </a:r>
            <a:r>
              <a:rPr lang="en-US" sz="2000"/>
              <a:t>.</a:t>
            </a:r>
            <a:endParaRPr lang="fa-IR" sz="2000"/>
          </a:p>
          <a:p>
            <a:pPr marL="0" indent="0" algn="l" rtl="0">
              <a:defRPr sz="1000"/>
            </a:pPr>
            <a:endParaRPr lang="fa-IR" sz="1800"/>
          </a:p>
          <a:p>
            <a:pPr marL="0" indent="0" algn="l" rtl="0">
              <a:defRPr sz="1000"/>
            </a:pPr>
            <a:r>
              <a:rPr lang="en-US" sz="2400"/>
              <a:t>•</a:t>
            </a:r>
            <a:r>
              <a:rPr lang="en-US" sz="1600"/>
              <a:t> </a:t>
            </a:r>
            <a:r>
              <a:rPr lang="en-US" sz="2000" b="1">
                <a:solidFill>
                  <a:schemeClr val="bg2">
                    <a:lumMod val="10000"/>
                  </a:schemeClr>
                </a:solidFill>
              </a:rPr>
              <a:t>Both the highest and lowest monthly sales values increased, </a:t>
            </a:r>
            <a:r>
              <a:rPr lang="fa-IR" sz="2000" b="1">
                <a:solidFill>
                  <a:schemeClr val="bg2">
                    <a:lumMod val="10000"/>
                  </a:schemeClr>
                </a:solidFill>
              </a:rPr>
              <a:t>  </a:t>
            </a:r>
          </a:p>
          <a:p>
            <a:pPr marL="0" indent="0" algn="l" rtl="0">
              <a:defRPr sz="1000"/>
            </a:pPr>
            <a:endParaRPr lang="fa-IR" sz="2000" b="1">
              <a:solidFill>
                <a:schemeClr val="bg2">
                  <a:lumMod val="10000"/>
                </a:schemeClr>
              </a:solidFill>
            </a:endParaRPr>
          </a:p>
          <a:p>
            <a:pPr marL="0" indent="0" algn="l" rtl="0">
              <a:defRPr sz="1000"/>
            </a:pPr>
            <a:r>
              <a:rPr lang="en-US" sz="2400">
                <a:effectLst/>
                <a:latin typeface="+mn-lt"/>
                <a:ea typeface="+mn-ea"/>
                <a:cs typeface="+mn-cs"/>
              </a:rPr>
              <a:t>•</a:t>
            </a:r>
            <a:r>
              <a:rPr lang="fa-IR" sz="1000">
                <a:effectLst/>
                <a:latin typeface="+mn-lt"/>
                <a:ea typeface="+mn-ea"/>
                <a:cs typeface="+mn-cs"/>
              </a:rPr>
              <a:t>    </a:t>
            </a:r>
            <a:r>
              <a:rPr lang="en-US" sz="2000" b="1">
                <a:solidFill>
                  <a:schemeClr val="bg2">
                    <a:lumMod val="10000"/>
                  </a:schemeClr>
                </a:solidFill>
              </a:rPr>
              <a:t>indicating an overall improvement in sales performance.</a:t>
            </a:r>
            <a:endParaRPr lang="en-US" sz="1600" b="1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523218</xdr:colOff>
      <xdr:row>46</xdr:row>
      <xdr:rowOff>132100</xdr:rowOff>
    </xdr:from>
    <xdr:to>
      <xdr:col>24</xdr:col>
      <xdr:colOff>135041</xdr:colOff>
      <xdr:row>61</xdr:row>
      <xdr:rowOff>164672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60678306-3ED5-A8DD-BEE8-2103178916C7}"/>
            </a:ext>
          </a:extLst>
        </xdr:cNvPr>
        <xdr:cNvGrpSpPr/>
      </xdr:nvGrpSpPr>
      <xdr:grpSpPr>
        <a:xfrm>
          <a:off x="8626176" y="8760945"/>
          <a:ext cx="8176273" cy="2769333"/>
          <a:chOff x="5427068" y="7796329"/>
          <a:chExt cx="8157826" cy="2741617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AB5DE03E-FC50-924B-9531-AAD0BDAC6F87}"/>
              </a:ext>
            </a:extLst>
          </xdr:cNvPr>
          <xdr:cNvGrpSpPr/>
        </xdr:nvGrpSpPr>
        <xdr:grpSpPr>
          <a:xfrm>
            <a:off x="5427068" y="7822690"/>
            <a:ext cx="6078174" cy="2660592"/>
            <a:chOff x="5505270" y="8149904"/>
            <a:chExt cx="5956138" cy="2720283"/>
          </a:xfrm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16" name="Chart 15">
                  <a:extLst>
                    <a:ext uri="{FF2B5EF4-FFF2-40B4-BE49-F238E27FC236}">
                      <a16:creationId xmlns:a16="http://schemas.microsoft.com/office/drawing/2014/main" id="{B03188A0-FD1F-F983-2CB1-0EE63083FA50}"/>
                    </a:ext>
                  </a:extLst>
                </xdr:cNvPr>
                <xdr:cNvGraphicFramePr/>
              </xdr:nvGraphicFramePr>
              <xdr:xfrm>
                <a:off x="5505270" y="8149904"/>
                <a:ext cx="5949205" cy="2720283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6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505270" y="8149904"/>
                  <a:ext cx="5949205" cy="2720283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BF8FDB4C-6819-F894-1A40-524F38B3BA74}"/>
                </a:ext>
              </a:extLst>
            </xdr:cNvPr>
            <xdr:cNvSpPr/>
          </xdr:nvSpPr>
          <xdr:spPr>
            <a:xfrm>
              <a:off x="5970409" y="8894108"/>
              <a:ext cx="638066" cy="25062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$627K</a:t>
              </a:r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E88DA813-B376-4883-982F-7DBAEC6C6E5C}"/>
                </a:ext>
              </a:extLst>
            </xdr:cNvPr>
            <xdr:cNvSpPr/>
          </xdr:nvSpPr>
          <xdr:spPr>
            <a:xfrm>
              <a:off x="10823343" y="8249388"/>
              <a:ext cx="638065" cy="25062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$835K</a:t>
              </a:r>
            </a:p>
          </xdr:txBody>
        </xdr:sp>
        <xdr:pic>
          <xdr:nvPicPr>
            <xdr:cNvPr id="19" name="Graphic 18" descr="Arrow: Straight with solid fill">
              <a:extLst>
                <a:ext uri="{FF2B5EF4-FFF2-40B4-BE49-F238E27FC236}">
                  <a16:creationId xmlns:a16="http://schemas.microsoft.com/office/drawing/2014/main" id="{962C60E5-3A93-40DB-AEA0-B12C1F4BB5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 rot="16200000">
              <a:off x="9764535" y="10234589"/>
              <a:ext cx="268153" cy="180267"/>
            </a:xfrm>
            <a:prstGeom prst="rect">
              <a:avLst/>
            </a:prstGeom>
          </xdr:spPr>
        </xdr:pic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837E272B-C0C2-40A3-9C71-DE54EBCDD6A5}"/>
                </a:ext>
              </a:extLst>
            </xdr:cNvPr>
            <xdr:cNvSpPr/>
          </xdr:nvSpPr>
          <xdr:spPr>
            <a:xfrm>
              <a:off x="9405638" y="9825985"/>
              <a:ext cx="993321" cy="4661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 b="1">
                  <a:solidFill>
                    <a:schemeClr val="tx1"/>
                  </a:solidFill>
                </a:rPr>
                <a:t>Final Quarter Decline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FFC76C1-C04F-4D6D-9EFF-DB4D7538F906}"/>
              </a:ext>
            </a:extLst>
          </xdr:cNvPr>
          <xdr:cNvSpPr/>
        </xdr:nvSpPr>
        <xdr:spPr>
          <a:xfrm>
            <a:off x="11526263" y="7796329"/>
            <a:ext cx="46345" cy="2741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241F7030-0EB8-4147-A990-17F225CBAE97}"/>
              </a:ext>
            </a:extLst>
          </xdr:cNvPr>
          <xdr:cNvSpPr/>
        </xdr:nvSpPr>
        <xdr:spPr>
          <a:xfrm>
            <a:off x="6270809" y="8436444"/>
            <a:ext cx="650884" cy="24422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$61K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9530DED2-4886-411C-83FF-5536FC7002AC}"/>
              </a:ext>
            </a:extLst>
          </xdr:cNvPr>
          <xdr:cNvSpPr/>
        </xdr:nvSpPr>
        <xdr:spPr>
          <a:xfrm>
            <a:off x="9409124" y="8132035"/>
            <a:ext cx="477573" cy="248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$19K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74E78C31-9FBF-4865-93F8-0140A64F54FB}"/>
              </a:ext>
            </a:extLst>
          </xdr:cNvPr>
          <xdr:cNvSpPr/>
        </xdr:nvSpPr>
        <xdr:spPr>
          <a:xfrm>
            <a:off x="9769342" y="8129903"/>
            <a:ext cx="531231" cy="248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$-17K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5F161749-3ED0-2B68-F575-1E8687CE62C2}"/>
              </a:ext>
            </a:extLst>
          </xdr:cNvPr>
          <xdr:cNvSpPr/>
        </xdr:nvSpPr>
        <xdr:spPr>
          <a:xfrm>
            <a:off x="11623893" y="7841593"/>
            <a:ext cx="1961001" cy="269042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i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Insight</a:t>
            </a:r>
            <a:r>
              <a:rPr lang="fa-IR" sz="1800" b="1" i="1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:</a:t>
            </a:r>
            <a:endParaRPr lang="en-US" sz="1800" b="1" i="1">
              <a:solidFill>
                <a:schemeClr val="tx1"/>
              </a:solidFill>
              <a:effectLst/>
            </a:endParaRPr>
          </a:p>
          <a:p>
            <a:pPr algn="l"/>
            <a:endParaRPr lang="en-US" sz="1100">
              <a:solidFill>
                <a:schemeClr val="tx1"/>
              </a:solidFill>
            </a:endParaRPr>
          </a:p>
          <a:p>
            <a:pPr algn="l"/>
            <a:r>
              <a:rPr lang="en-US" sz="1600">
                <a:solidFill>
                  <a:schemeClr val="tx1"/>
                </a:solidFill>
              </a:rPr>
              <a:t>Strong sales gains during the first nine months more than offset the declines in Q</a:t>
            </a:r>
            <a:r>
              <a:rPr lang="fa-IR" sz="1600">
                <a:solidFill>
                  <a:schemeClr val="tx1"/>
                </a:solidFill>
              </a:rPr>
              <a:t>3</a:t>
            </a:r>
            <a:r>
              <a:rPr lang="en-US" sz="1600">
                <a:solidFill>
                  <a:schemeClr val="tx1"/>
                </a:solidFill>
              </a:rPr>
              <a:t>, resulting in a net annual sales increase of $208K </a:t>
            </a:r>
            <a:r>
              <a:rPr lang="en-US" sz="1600">
                <a:solidFill>
                  <a:srgbClr val="00B050"/>
                </a:solidFill>
              </a:rPr>
              <a:t>(+33.2%)</a:t>
            </a:r>
            <a:r>
              <a:rPr lang="en-US" sz="1600">
                <a:solidFill>
                  <a:schemeClr val="tx1"/>
                </a:solidFill>
              </a:rPr>
              <a:t>.</a:t>
            </a:r>
            <a:endParaRPr lang="fa-IR" sz="1600">
              <a:solidFill>
                <a:schemeClr val="tx1"/>
              </a:solidFill>
            </a:endParaRPr>
          </a:p>
          <a:p>
            <a:pPr algn="l"/>
            <a:endParaRPr lang="fa-IR" sz="1100"/>
          </a:p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375809</xdr:colOff>
      <xdr:row>0</xdr:row>
      <xdr:rowOff>33151</xdr:rowOff>
    </xdr:from>
    <xdr:to>
      <xdr:col>29</xdr:col>
      <xdr:colOff>587475</xdr:colOff>
      <xdr:row>4</xdr:row>
      <xdr:rowOff>153203</xdr:rowOff>
    </xdr:to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AD3D4419-1F9B-6206-82C6-E97D6EC72DCC}"/>
            </a:ext>
          </a:extLst>
        </xdr:cNvPr>
        <xdr:cNvSpPr/>
      </xdr:nvSpPr>
      <xdr:spPr>
        <a:xfrm>
          <a:off x="5407884" y="33151"/>
          <a:ext cx="14704044" cy="8964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>
              <a:solidFill>
                <a:schemeClr val="tx1"/>
              </a:solidFill>
            </a:rPr>
            <a:t>Monthly Sales Dashboard</a:t>
          </a:r>
          <a:r>
            <a:rPr lang="fa-IR" sz="4000">
              <a:solidFill>
                <a:schemeClr val="tx1"/>
              </a:solidFill>
            </a:rPr>
            <a:t>  </a:t>
          </a:r>
          <a:r>
            <a:rPr lang="en-US" sz="4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 Performance Analysis (2020 vs. 2021)</a:t>
          </a:r>
          <a:endParaRPr lang="en-US" sz="2400">
            <a:solidFill>
              <a:schemeClr val="tx1"/>
            </a:solidFill>
            <a:effectLst/>
          </a:endParaRPr>
        </a:p>
        <a:p>
          <a:pPr algn="l"/>
          <a:endParaRPr lang="en-US" sz="24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0.78602</cdr:x>
      <cdr:y>0.46111</cdr:y>
    </cdr:from>
    <cdr:to>
      <cdr:x>0.82309</cdr:x>
      <cdr:y>0.55833</cdr:y>
    </cdr:to>
    <cdr:pic>
      <cdr:nvPicPr>
        <cdr:cNvPr id="3" name="Graphic 2" descr="Arrow: Straight with solid fill">
          <a:extLst xmlns:a="http://schemas.openxmlformats.org/drawingml/2006/main">
            <a:ext uri="{FF2B5EF4-FFF2-40B4-BE49-F238E27FC236}">
              <a16:creationId xmlns:a16="http://schemas.microsoft.com/office/drawing/2014/main" id="{DFC34C8A-5BF3-399D-34C9-1E9287D35B7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5654038" y="1264918"/>
          <a:ext cx="266702" cy="26670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0.74682</cdr:x>
      <cdr:y>0.39444</cdr:y>
    </cdr:from>
    <cdr:to>
      <cdr:x>0.94809</cdr:x>
      <cdr:y>0.525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72E15D8-5534-F36F-D3B3-51136C10038B}"/>
            </a:ext>
          </a:extLst>
        </cdr:cNvPr>
        <cdr:cNvSpPr/>
      </cdr:nvSpPr>
      <cdr:spPr>
        <a:xfrm xmlns:a="http://schemas.openxmlformats.org/drawingml/2006/main">
          <a:off x="5372098" y="1082040"/>
          <a:ext cx="1447800" cy="3581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>
              <a:solidFill>
                <a:schemeClr val="tx1"/>
              </a:solidFill>
            </a:rPr>
            <a:t>First Negative Month</a:t>
          </a:r>
        </a:p>
      </cdr:txBody>
    </cdr:sp>
  </cdr:relSizeAnchor>
  <cdr:relSizeAnchor xmlns:cdr="http://schemas.openxmlformats.org/drawingml/2006/chartDrawing">
    <cdr:from>
      <cdr:x>0.69625</cdr:x>
      <cdr:y>0.8012</cdr:y>
    </cdr:from>
    <cdr:to>
      <cdr:x>0.73332</cdr:x>
      <cdr:y>0.89842</cdr:y>
    </cdr:to>
    <cdr:pic>
      <cdr:nvPicPr>
        <cdr:cNvPr id="5" name="Graphic 1" descr="Arrow: Straight with solid fill">
          <a:extLst xmlns:a="http://schemas.openxmlformats.org/drawingml/2006/main">
            <a:ext uri="{FF2B5EF4-FFF2-40B4-BE49-F238E27FC236}">
              <a16:creationId xmlns:a16="http://schemas.microsoft.com/office/drawing/2014/main" id="{C826B51B-AEF2-0C2F-B99F-EDE651A644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5111105" y="2068909"/>
          <a:ext cx="252225" cy="27161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316675</xdr:colOff>
      <xdr:row>0</xdr:row>
      <xdr:rowOff>0</xdr:rowOff>
    </xdr:from>
    <xdr:to>
      <xdr:col>17</xdr:col>
      <xdr:colOff>263181</xdr:colOff>
      <xdr:row>45</xdr:row>
      <xdr:rowOff>168234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55C3755-D103-98A4-BB4C-A4AB39248330}"/>
            </a:ext>
          </a:extLst>
        </xdr:cNvPr>
        <xdr:cNvGrpSpPr/>
      </xdr:nvGrpSpPr>
      <xdr:grpSpPr>
        <a:xfrm>
          <a:off x="4832646" y="0"/>
          <a:ext cx="10065417" cy="8415763"/>
          <a:chOff x="4832646" y="0"/>
          <a:chExt cx="10065417" cy="841576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838B233-B923-0D55-D70A-E3C84EA7F7B6}"/>
              </a:ext>
            </a:extLst>
          </xdr:cNvPr>
          <xdr:cNvGraphicFramePr/>
        </xdr:nvGraphicFramePr>
        <xdr:xfrm>
          <a:off x="4832646" y="1592026"/>
          <a:ext cx="3489436" cy="47275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30F9C62-DC36-5706-CAF2-89B3022D40A7}"/>
              </a:ext>
            </a:extLst>
          </xdr:cNvPr>
          <xdr:cNvSpPr/>
        </xdr:nvSpPr>
        <xdr:spPr>
          <a:xfrm>
            <a:off x="4840266" y="6352286"/>
            <a:ext cx="3481816" cy="762897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>
                <a:solidFill>
                  <a:schemeClr val="bg1"/>
                </a:solidFill>
                <a:cs typeface="B Nazanin" panose="00000400000000000000" pitchFamily="2" charset="-78"/>
              </a:rPr>
              <a:t>Regions above the average demonstrate </a:t>
            </a:r>
            <a:r>
              <a:rPr lang="en-US" sz="1200" b="1">
                <a:solidFill>
                  <a:srgbClr val="00B050"/>
                </a:solidFill>
                <a:cs typeface="B Nazanin" panose="00000400000000000000" pitchFamily="2" charset="-78"/>
              </a:rPr>
              <a:t>stronger</a:t>
            </a:r>
            <a:r>
              <a:rPr lang="en-US" sz="1200" b="1">
                <a:solidFill>
                  <a:schemeClr val="bg1"/>
                </a:solidFill>
                <a:cs typeface="B Nazanin" panose="00000400000000000000" pitchFamily="2" charset="-78"/>
              </a:rPr>
              <a:t> performance, while those </a:t>
            </a:r>
            <a:r>
              <a:rPr lang="en-US" sz="1200" b="1">
                <a:solidFill>
                  <a:srgbClr val="FF0000"/>
                </a:solidFill>
                <a:cs typeface="B Nazanin" panose="00000400000000000000" pitchFamily="2" charset="-78"/>
              </a:rPr>
              <a:t>below</a:t>
            </a:r>
            <a:r>
              <a:rPr lang="en-US" sz="1200" b="1">
                <a:solidFill>
                  <a:schemeClr val="bg1"/>
                </a:solidFill>
                <a:cs typeface="B Nazanin" panose="00000400000000000000" pitchFamily="2" charset="-78"/>
              </a:rPr>
              <a:t> the </a:t>
            </a:r>
            <a:r>
              <a:rPr lang="en-US" sz="1200" b="1">
                <a:solidFill>
                  <a:srgbClr val="FFC000"/>
                </a:solidFill>
                <a:cs typeface="B Nazanin" panose="00000400000000000000" pitchFamily="2" charset="-78"/>
              </a:rPr>
              <a:t>average</a:t>
            </a:r>
            <a:r>
              <a:rPr lang="en-US" sz="1200" b="1">
                <a:solidFill>
                  <a:schemeClr val="bg1"/>
                </a:solidFill>
                <a:cs typeface="B Nazanin" panose="00000400000000000000" pitchFamily="2" charset="-78"/>
              </a:rPr>
              <a:t> require attention.</a:t>
            </a:r>
          </a:p>
          <a:p>
            <a:pPr algn="l"/>
            <a:endParaRPr lang="en-US" sz="1100">
              <a:solidFill>
                <a:schemeClr val="bg1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2193923-9AE8-3087-6F88-437C01BD7F76}"/>
              </a:ext>
            </a:extLst>
          </xdr:cNvPr>
          <xdr:cNvGrpSpPr/>
        </xdr:nvGrpSpPr>
        <xdr:grpSpPr>
          <a:xfrm>
            <a:off x="8386110" y="1585965"/>
            <a:ext cx="6503597" cy="3030380"/>
            <a:chOff x="7540138" y="2363684"/>
            <a:chExt cx="6589024" cy="3015244"/>
          </a:xfrm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4" name="Chart 3">
                  <a:extLst>
                    <a:ext uri="{FF2B5EF4-FFF2-40B4-BE49-F238E27FC236}">
                      <a16:creationId xmlns:a16="http://schemas.microsoft.com/office/drawing/2014/main" id="{89116F44-7094-D4BF-7599-6D2923242744}"/>
                    </a:ext>
                  </a:extLst>
                </xdr:cNvPr>
                <xdr:cNvGraphicFramePr/>
              </xdr:nvGraphicFramePr>
              <xdr:xfrm>
                <a:off x="7540138" y="2363684"/>
                <a:ext cx="6589024" cy="301524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2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540138" y="2363684"/>
                  <a:ext cx="6589024" cy="301524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490A2A39-259E-0AE7-9C15-C72E488E11F4}"/>
                </a:ext>
              </a:extLst>
            </xdr:cNvPr>
            <xdr:cNvSpPr/>
          </xdr:nvSpPr>
          <xdr:spPr>
            <a:xfrm>
              <a:off x="7585363" y="2426149"/>
              <a:ext cx="3796628" cy="30169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/>
                <a:t>Regional Contribution Analysis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6C9DF28-182B-32E7-536D-FF514A3FA094}"/>
              </a:ext>
            </a:extLst>
          </xdr:cNvPr>
          <xdr:cNvGrpSpPr/>
        </xdr:nvGrpSpPr>
        <xdr:grpSpPr>
          <a:xfrm>
            <a:off x="8357114" y="4646587"/>
            <a:ext cx="6525170" cy="2484429"/>
            <a:chOff x="8471065" y="4607585"/>
            <a:chExt cx="6610597" cy="2468129"/>
          </a:xfrm>
        </xdr:grpSpPr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6" name="Chart 5">
                  <a:extLst>
                    <a:ext uri="{FF2B5EF4-FFF2-40B4-BE49-F238E27FC236}">
                      <a16:creationId xmlns:a16="http://schemas.microsoft.com/office/drawing/2014/main" id="{AA939C02-2E70-6534-9B49-62636EC6635A}"/>
                    </a:ext>
                  </a:extLst>
                </xdr:cNvPr>
                <xdr:cNvGraphicFramePr/>
              </xdr:nvGraphicFramePr>
              <xdr:xfrm>
                <a:off x="8491793" y="4607585"/>
                <a:ext cx="6589869" cy="2468129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3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8491793" y="4607585"/>
                  <a:ext cx="6589869" cy="24681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94C921A2-EF0E-078A-8F47-0B6DFD4BBDA1}"/>
                </a:ext>
              </a:extLst>
            </xdr:cNvPr>
            <xdr:cNvSpPr/>
          </xdr:nvSpPr>
          <xdr:spPr>
            <a:xfrm>
              <a:off x="8471065" y="4611584"/>
              <a:ext cx="2585157" cy="30677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600" b="1"/>
                <a:t>Regional Performance Map</a:t>
              </a:r>
            </a:p>
          </xdr:txBody>
        </xdr:sp>
      </xdr:grp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324515F9-5035-88D6-CACC-D589D54A12A8}"/>
              </a:ext>
            </a:extLst>
          </xdr:cNvPr>
          <xdr:cNvSpPr/>
        </xdr:nvSpPr>
        <xdr:spPr>
          <a:xfrm>
            <a:off x="4919383" y="29689"/>
            <a:ext cx="3247668" cy="1528074"/>
          </a:xfrm>
          <a:prstGeom prst="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Highest Region</a:t>
            </a:r>
          </a:p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Mazandaran</a:t>
            </a:r>
          </a:p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20%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CA83020-A5B2-4F34-BEAA-59430D0641CE}"/>
              </a:ext>
            </a:extLst>
          </xdr:cNvPr>
          <xdr:cNvSpPr/>
        </xdr:nvSpPr>
        <xdr:spPr>
          <a:xfrm>
            <a:off x="8202706" y="0"/>
            <a:ext cx="3389591" cy="1528074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600"/>
              <a:t>Average</a:t>
            </a:r>
          </a:p>
          <a:p>
            <a:pPr algn="ctr"/>
            <a:r>
              <a:rPr lang="en-US" sz="3600"/>
              <a:t>12%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577B71D9-605B-42C5-AE56-ABBE3365A8A3}"/>
              </a:ext>
            </a:extLst>
          </xdr:cNvPr>
          <xdr:cNvSpPr/>
        </xdr:nvSpPr>
        <xdr:spPr>
          <a:xfrm>
            <a:off x="11609295" y="16505"/>
            <a:ext cx="3288768" cy="1528074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/>
              <a:t>Lowest Region</a:t>
            </a:r>
          </a:p>
          <a:p>
            <a:pPr algn="ctr"/>
            <a:r>
              <a:rPr lang="en-US" sz="2400"/>
              <a:t>Khuzestan</a:t>
            </a:r>
          </a:p>
          <a:p>
            <a:pPr algn="ctr"/>
            <a:r>
              <a:rPr lang="en-US" sz="2400"/>
              <a:t>8%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E3A53E0-EE84-85D8-104D-93EEA11AC01E}"/>
              </a:ext>
            </a:extLst>
          </xdr:cNvPr>
          <xdr:cNvSpPr/>
        </xdr:nvSpPr>
        <xdr:spPr>
          <a:xfrm>
            <a:off x="4862334" y="7140912"/>
            <a:ext cx="9990262" cy="1274851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800" b="1"/>
              <a:t>Regional sales performance varied considerably across provinces, ranging from</a:t>
            </a:r>
            <a:r>
              <a:rPr lang="en-US" sz="1800" b="1">
                <a:solidFill>
                  <a:srgbClr val="FF0000"/>
                </a:solidFill>
              </a:rPr>
              <a:t> 8% </a:t>
            </a:r>
            <a:r>
              <a:rPr lang="en-US" sz="1800" b="1"/>
              <a:t>to </a:t>
            </a:r>
            <a:r>
              <a:rPr lang="en-US" sz="1800" b="1">
                <a:solidFill>
                  <a:srgbClr val="00B050"/>
                </a:solidFill>
              </a:rPr>
              <a:t>20%</a:t>
            </a:r>
            <a:r>
              <a:rPr lang="en-US" sz="1800" b="1"/>
              <a:t>. </a:t>
            </a:r>
            <a:r>
              <a:rPr lang="en-US" sz="1800" b="1">
                <a:solidFill>
                  <a:srgbClr val="00B050"/>
                </a:solidFill>
              </a:rPr>
              <a:t>Mazandaran</a:t>
            </a:r>
            <a:r>
              <a:rPr lang="en-US" sz="1800" b="1"/>
              <a:t> emerged as the strongest-performing region, while several provinces remained below the </a:t>
            </a:r>
            <a:r>
              <a:rPr lang="en-US" sz="1800" b="1">
                <a:solidFill>
                  <a:srgbClr val="FFC000"/>
                </a:solidFill>
              </a:rPr>
              <a:t>12% average </a:t>
            </a:r>
            <a:r>
              <a:rPr lang="en-US" sz="1800" b="1"/>
              <a:t>benchmark, highlighting opportunities for regional sales improvement.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0.02865</cdr:x>
      <cdr:y>0.00972</cdr:y>
    </cdr:from>
    <cdr:to>
      <cdr:x>0.97421</cdr:x>
      <cdr:y>0.09724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5B380F4-3DC1-FF87-C432-90F0E9D90B0C}"/>
            </a:ext>
          </a:extLst>
        </cdr:cNvPr>
        <cdr:cNvSpPr/>
      </cdr:nvSpPr>
      <cdr:spPr>
        <a:xfrm xmlns:a="http://schemas.openxmlformats.org/drawingml/2006/main">
          <a:off x="76200" y="45720"/>
          <a:ext cx="2514600" cy="4114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400" b="1" u="sng">
              <a:solidFill>
                <a:schemeClr val="bg2"/>
              </a:solidFill>
            </a:rPr>
            <a:t>Regional Performance Comparison</a:t>
          </a:r>
        </a:p>
      </cdr:txBody>
    </cdr:sp>
  </cdr:relSizeAnchor>
  <cdr:relSizeAnchor xmlns:cdr="http://schemas.openxmlformats.org/drawingml/2006/chartDrawing">
    <cdr:from>
      <cdr:x>0.62445</cdr:x>
      <cdr:y>0.08266</cdr:y>
    </cdr:from>
    <cdr:to>
      <cdr:x>0.62445</cdr:x>
      <cdr:y>0.94489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A92367C-F382-25FB-4A2F-34617378ED19}"/>
            </a:ext>
          </a:extLst>
        </cdr:cNvPr>
        <cdr:cNvCxnSpPr/>
      </cdr:nvCxnSpPr>
      <cdr:spPr>
        <a:xfrm xmlns:a="http://schemas.openxmlformats.org/drawingml/2006/main">
          <a:off x="2179320" y="388620"/>
          <a:ext cx="0" cy="405384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0.58515</cdr:x>
      <cdr:y>0.93841</cdr:y>
    </cdr:from>
    <cdr:to>
      <cdr:x>0.90393</cdr:x>
      <cdr:y>0.99352</cdr:y>
    </cdr:to>
    <cdr:sp macro="" textlink="">
      <cdr:nvSpPr>
        <cdr:cNvPr id="10" name="Rectangle 9">
          <a:extLst xmlns:a="http://schemas.openxmlformats.org/drawingml/2006/main">
            <a:ext uri="{FF2B5EF4-FFF2-40B4-BE49-F238E27FC236}">
              <a16:creationId xmlns:a16="http://schemas.microsoft.com/office/drawing/2014/main" id="{D4DCAE55-B878-7D94-DF8C-6A665DE74FEA}"/>
            </a:ext>
          </a:extLst>
        </cdr:cNvPr>
        <cdr:cNvSpPr/>
      </cdr:nvSpPr>
      <cdr:spPr>
        <a:xfrm xmlns:a="http://schemas.openxmlformats.org/drawingml/2006/main">
          <a:off x="2042160" y="4524348"/>
          <a:ext cx="1112520" cy="2656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>
              <a:solidFill>
                <a:srgbClr val="FFC000"/>
              </a:solidFill>
            </a:rPr>
            <a:t>Average (12%)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79DEC-0A8B-4161-8912-C39F683C8C5E}" name="Table1" displayName="Table1" ref="A1:C16" totalsRowShown="0" headerRowBorderDxfId="5" tableBorderDxfId="4" totalsRowBorderDxfId="3">
  <autoFilter ref="A1:C16" xr:uid="{3C079DEC-0A8B-4161-8912-C39F683C8C5E}"/>
  <tableColumns count="3">
    <tableColumn id="1" xr3:uid="{429AC02D-3AD5-47CC-A3B2-E81DFC1A183C}" name="Region" dataDxfId="2"/>
    <tableColumn id="2" xr3:uid="{14690C39-3573-4E68-AE25-C2A4ED7B5430}" name="Province" dataDxfId="1"/>
    <tableColumn id="3" xr3:uid="{555DC194-EE21-470E-A5FE-AB368209AA1F}" name="Sale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E2E4-B19E-4314-ACB8-90F0A9170BE4}">
  <dimension ref="A1:AG42"/>
  <sheetViews>
    <sheetView tabSelected="1" topLeftCell="A2" zoomScale="71" zoomScaleNormal="63" workbookViewId="0">
      <selection activeCell="D33" sqref="D33"/>
    </sheetView>
  </sheetViews>
  <sheetFormatPr defaultRowHeight="14.4" x14ac:dyDescent="0.3"/>
  <cols>
    <col min="1" max="1" width="12.44140625" customWidth="1"/>
    <col min="2" max="3" width="11.109375" bestFit="1" customWidth="1"/>
    <col min="4" max="4" width="25.6640625" style="1" customWidth="1"/>
    <col min="5" max="5" width="13.109375" style="1" customWidth="1"/>
  </cols>
  <sheetData>
    <row r="1" spans="1:33" ht="15.6" x14ac:dyDescent="0.3">
      <c r="A1" s="39" t="s">
        <v>1</v>
      </c>
      <c r="B1" s="31" t="s">
        <v>0</v>
      </c>
      <c r="C1" s="31"/>
      <c r="D1" s="39" t="s">
        <v>32</v>
      </c>
      <c r="E1" s="41" t="s">
        <v>35</v>
      </c>
    </row>
    <row r="2" spans="1:33" ht="15.6" x14ac:dyDescent="0.3">
      <c r="A2" s="40"/>
      <c r="B2" s="32">
        <v>2020</v>
      </c>
      <c r="C2" s="32">
        <v>2021</v>
      </c>
      <c r="D2" s="40"/>
      <c r="E2" s="41"/>
    </row>
    <row r="3" spans="1:33" x14ac:dyDescent="0.3">
      <c r="A3" s="3" t="s">
        <v>18</v>
      </c>
      <c r="B3" s="4">
        <v>38000</v>
      </c>
      <c r="C3" s="4">
        <v>99000</v>
      </c>
      <c r="D3" s="5">
        <f>C3-B3</f>
        <v>61000</v>
      </c>
      <c r="E3" s="15">
        <f>(C3-B3)/B3</f>
        <v>1.6052631578947369</v>
      </c>
    </row>
    <row r="4" spans="1:33" x14ac:dyDescent="0.3">
      <c r="A4" s="3" t="s">
        <v>19</v>
      </c>
      <c r="B4" s="4">
        <v>47000</v>
      </c>
      <c r="C4" s="4">
        <v>78000</v>
      </c>
      <c r="D4" s="5">
        <f t="shared" ref="D4:D14" si="0">C4-B4</f>
        <v>31000</v>
      </c>
      <c r="E4" s="15">
        <f t="shared" ref="E4:E14" si="1">(C4-B4)/B4</f>
        <v>0.65957446808510634</v>
      </c>
    </row>
    <row r="5" spans="1:33" x14ac:dyDescent="0.3">
      <c r="A5" s="3" t="s">
        <v>20</v>
      </c>
      <c r="B5" s="4">
        <v>49000</v>
      </c>
      <c r="C5" s="4">
        <v>90000</v>
      </c>
      <c r="D5" s="5">
        <f t="shared" si="0"/>
        <v>41000</v>
      </c>
      <c r="E5" s="15">
        <f t="shared" si="1"/>
        <v>0.83673469387755106</v>
      </c>
    </row>
    <row r="6" spans="1:33" x14ac:dyDescent="0.3">
      <c r="A6" s="3" t="s">
        <v>21</v>
      </c>
      <c r="B6" s="4">
        <v>42000</v>
      </c>
      <c r="C6" s="4">
        <v>77000</v>
      </c>
      <c r="D6" s="5">
        <f t="shared" si="0"/>
        <v>35000</v>
      </c>
      <c r="E6" s="15">
        <f t="shared" si="1"/>
        <v>0.83333333333333337</v>
      </c>
    </row>
    <row r="7" spans="1:33" x14ac:dyDescent="0.3">
      <c r="A7" s="3" t="s">
        <v>22</v>
      </c>
      <c r="B7" s="4">
        <v>42000</v>
      </c>
      <c r="C7" s="4">
        <v>78000</v>
      </c>
      <c r="D7" s="5">
        <f t="shared" si="0"/>
        <v>36000</v>
      </c>
      <c r="E7" s="15">
        <f t="shared" si="1"/>
        <v>0.8571428571428571</v>
      </c>
    </row>
    <row r="8" spans="1:33" x14ac:dyDescent="0.3">
      <c r="A8" s="3" t="s">
        <v>23</v>
      </c>
      <c r="B8" s="4">
        <v>38000</v>
      </c>
      <c r="C8" s="4">
        <v>71000</v>
      </c>
      <c r="D8" s="5">
        <f t="shared" si="0"/>
        <v>33000</v>
      </c>
      <c r="E8" s="15">
        <f t="shared" si="1"/>
        <v>0.86842105263157898</v>
      </c>
    </row>
    <row r="9" spans="1:33" x14ac:dyDescent="0.3">
      <c r="A9" s="3" t="s">
        <v>24</v>
      </c>
      <c r="B9" s="4">
        <v>43000</v>
      </c>
      <c r="C9" s="4">
        <v>78000</v>
      </c>
      <c r="D9" s="5">
        <f t="shared" si="0"/>
        <v>35000</v>
      </c>
      <c r="E9" s="15">
        <f t="shared" si="1"/>
        <v>0.81395348837209303</v>
      </c>
    </row>
    <row r="10" spans="1:33" x14ac:dyDescent="0.3">
      <c r="A10" s="3" t="s">
        <v>25</v>
      </c>
      <c r="B10" s="4">
        <v>52000</v>
      </c>
      <c r="C10" s="4">
        <v>62000</v>
      </c>
      <c r="D10" s="5">
        <f t="shared" si="0"/>
        <v>10000</v>
      </c>
      <c r="E10" s="15">
        <f t="shared" si="1"/>
        <v>0.19230769230769232</v>
      </c>
    </row>
    <row r="11" spans="1:33" x14ac:dyDescent="0.3">
      <c r="A11" s="3" t="s">
        <v>26</v>
      </c>
      <c r="B11" s="4">
        <v>49000</v>
      </c>
      <c r="C11" s="4">
        <v>68000</v>
      </c>
      <c r="D11" s="5">
        <f t="shared" si="0"/>
        <v>19000</v>
      </c>
      <c r="E11" s="15">
        <f t="shared" si="1"/>
        <v>0.38775510204081631</v>
      </c>
    </row>
    <row r="12" spans="1:33" x14ac:dyDescent="0.3">
      <c r="A12" s="3" t="s">
        <v>27</v>
      </c>
      <c r="B12" s="4">
        <v>67000</v>
      </c>
      <c r="C12" s="4">
        <v>50000</v>
      </c>
      <c r="D12" s="5">
        <f t="shared" si="0"/>
        <v>-17000</v>
      </c>
      <c r="E12" s="15">
        <f t="shared" si="1"/>
        <v>-0.2537313432835821</v>
      </c>
    </row>
    <row r="13" spans="1:33" x14ac:dyDescent="0.3">
      <c r="A13" s="3" t="s">
        <v>28</v>
      </c>
      <c r="B13" s="4">
        <v>74000</v>
      </c>
      <c r="C13" s="4">
        <v>43000</v>
      </c>
      <c r="D13" s="5">
        <f t="shared" si="0"/>
        <v>-31000</v>
      </c>
      <c r="E13" s="15">
        <f t="shared" si="1"/>
        <v>-0.41891891891891891</v>
      </c>
    </row>
    <row r="14" spans="1:33" ht="15" thickBot="1" x14ac:dyDescent="0.35">
      <c r="A14" s="6" t="s">
        <v>29</v>
      </c>
      <c r="B14" s="7">
        <v>86000</v>
      </c>
      <c r="C14" s="7">
        <v>41000</v>
      </c>
      <c r="D14" s="8">
        <f t="shared" si="0"/>
        <v>-45000</v>
      </c>
      <c r="E14" s="15">
        <f t="shared" si="1"/>
        <v>-0.52325581395348841</v>
      </c>
    </row>
    <row r="15" spans="1:33" ht="16.2" thickBot="1" x14ac:dyDescent="0.35">
      <c r="A15" s="9" t="s">
        <v>30</v>
      </c>
      <c r="B15" s="10">
        <f>SUM(B3:B14)</f>
        <v>627000</v>
      </c>
      <c r="C15" s="10">
        <f>SUM(C3:C14)</f>
        <v>835000</v>
      </c>
      <c r="D15" s="16">
        <f>C15-B15</f>
        <v>208000</v>
      </c>
      <c r="E15" s="17">
        <f>((C15-B15)/B15)</f>
        <v>0.33173843700159489</v>
      </c>
    </row>
    <row r="16" spans="1:33" ht="21" x14ac:dyDescent="0.3">
      <c r="AG16" s="38"/>
    </row>
    <row r="17" spans="1:3" ht="15" thickBot="1" x14ac:dyDescent="0.35"/>
    <row r="18" spans="1:3" ht="16.2" thickBot="1" x14ac:dyDescent="0.35">
      <c r="A18" s="33" t="s">
        <v>31</v>
      </c>
      <c r="B18" s="34">
        <v>2020</v>
      </c>
      <c r="C18" s="35">
        <v>2021</v>
      </c>
    </row>
    <row r="19" spans="1:3" ht="15" thickBot="1" x14ac:dyDescent="0.35">
      <c r="A19" s="2" t="s">
        <v>34</v>
      </c>
      <c r="B19" s="11">
        <f>MAX(B3:B14)</f>
        <v>86000</v>
      </c>
      <c r="C19" s="12">
        <f>MAX(C2:C14)</f>
        <v>99000</v>
      </c>
    </row>
    <row r="20" spans="1:3" ht="15" thickBot="1" x14ac:dyDescent="0.35">
      <c r="A20" s="2" t="s">
        <v>36</v>
      </c>
      <c r="B20" s="11">
        <f>AVERAGE(B3:B14)</f>
        <v>52250</v>
      </c>
      <c r="C20" s="12">
        <f>AVERAGE(C4:C14)</f>
        <v>66909.090909090912</v>
      </c>
    </row>
    <row r="21" spans="1:3" ht="15" thickBot="1" x14ac:dyDescent="0.35">
      <c r="A21" s="2" t="s">
        <v>33</v>
      </c>
      <c r="B21" s="11">
        <f>MIN(B3:B14)</f>
        <v>38000</v>
      </c>
      <c r="C21" s="12">
        <f>MIN(C3:C14)</f>
        <v>41000</v>
      </c>
    </row>
    <row r="22" spans="1:3" ht="15" thickBot="1" x14ac:dyDescent="0.35">
      <c r="A22" s="2" t="s">
        <v>37</v>
      </c>
      <c r="B22" s="13">
        <v>627000</v>
      </c>
      <c r="C22" s="14">
        <v>835000</v>
      </c>
    </row>
    <row r="27" spans="1:3" ht="15" thickBot="1" x14ac:dyDescent="0.35"/>
    <row r="28" spans="1:3" x14ac:dyDescent="0.3">
      <c r="A28" s="36" t="s">
        <v>38</v>
      </c>
      <c r="B28" s="37" t="s">
        <v>39</v>
      </c>
    </row>
    <row r="29" spans="1:3" x14ac:dyDescent="0.3">
      <c r="A29" s="18" t="s">
        <v>40</v>
      </c>
      <c r="B29" s="42">
        <v>627000</v>
      </c>
    </row>
    <row r="30" spans="1:3" x14ac:dyDescent="0.3">
      <c r="A30" s="18" t="s">
        <v>18</v>
      </c>
      <c r="B30" s="19">
        <v>61000</v>
      </c>
    </row>
    <row r="31" spans="1:3" x14ac:dyDescent="0.3">
      <c r="A31" s="18" t="s">
        <v>19</v>
      </c>
      <c r="B31" s="19">
        <v>31000</v>
      </c>
    </row>
    <row r="32" spans="1:3" x14ac:dyDescent="0.3">
      <c r="A32" s="18" t="s">
        <v>20</v>
      </c>
      <c r="B32" s="19">
        <v>41000</v>
      </c>
    </row>
    <row r="33" spans="1:2" x14ac:dyDescent="0.3">
      <c r="A33" s="18" t="s">
        <v>21</v>
      </c>
      <c r="B33" s="19">
        <v>35000</v>
      </c>
    </row>
    <row r="34" spans="1:2" x14ac:dyDescent="0.3">
      <c r="A34" s="18" t="s">
        <v>22</v>
      </c>
      <c r="B34" s="19">
        <v>36000</v>
      </c>
    </row>
    <row r="35" spans="1:2" x14ac:dyDescent="0.3">
      <c r="A35" s="18" t="s">
        <v>23</v>
      </c>
      <c r="B35" s="19">
        <v>33000</v>
      </c>
    </row>
    <row r="36" spans="1:2" x14ac:dyDescent="0.3">
      <c r="A36" s="18" t="s">
        <v>24</v>
      </c>
      <c r="B36" s="19">
        <v>35000</v>
      </c>
    </row>
    <row r="37" spans="1:2" x14ac:dyDescent="0.3">
      <c r="A37" s="18" t="s">
        <v>25</v>
      </c>
      <c r="B37" s="19">
        <v>10000</v>
      </c>
    </row>
    <row r="38" spans="1:2" x14ac:dyDescent="0.3">
      <c r="A38" s="18" t="s">
        <v>26</v>
      </c>
      <c r="B38" s="19">
        <v>19000</v>
      </c>
    </row>
    <row r="39" spans="1:2" x14ac:dyDescent="0.3">
      <c r="A39" s="18" t="s">
        <v>27</v>
      </c>
      <c r="B39" s="19">
        <v>-17000</v>
      </c>
    </row>
    <row r="40" spans="1:2" x14ac:dyDescent="0.3">
      <c r="A40" s="18" t="s">
        <v>28</v>
      </c>
      <c r="B40" s="19">
        <v>-31000</v>
      </c>
    </row>
    <row r="41" spans="1:2" x14ac:dyDescent="0.3">
      <c r="A41" s="18" t="s">
        <v>29</v>
      </c>
      <c r="B41" s="19">
        <v>-45000</v>
      </c>
    </row>
    <row r="42" spans="1:2" ht="15" thickBot="1" x14ac:dyDescent="0.35">
      <c r="A42" s="20" t="s">
        <v>41</v>
      </c>
      <c r="B42" s="43">
        <v>835000</v>
      </c>
    </row>
  </sheetData>
  <mergeCells count="3">
    <mergeCell ref="A1:A2"/>
    <mergeCell ref="D1:D2"/>
    <mergeCell ref="E1:E2"/>
  </mergeCells>
  <conditionalFormatting sqref="B30:B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C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00B050"/>
        <color rgb="FFFF0000"/>
      </colorScale>
    </cfRule>
  </conditionalFormatting>
  <conditionalFormatting sqref="B19:C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{45591418-4714-4797-84CC-B18E14540AC6}</x14:id>
        </ext>
      </extLst>
    </cfRule>
  </conditionalFormatting>
  <conditionalFormatting sqref="D3:D14">
    <cfRule type="colorScale" priority="8">
      <colorScale>
        <cfvo type="min"/>
        <cfvo type="percentile" val="50"/>
        <cfvo type="max"/>
        <color rgb="FFFF6600"/>
        <color theme="0"/>
        <color rgb="FF92D050"/>
      </colorScale>
    </cfRule>
  </conditionalFormatting>
  <conditionalFormatting sqref="E3:E14">
    <cfRule type="colorScale" priority="6">
      <colorScale>
        <cfvo type="min"/>
        <cfvo type="percentile" val="50"/>
        <cfvo type="max"/>
        <color rgb="FFFF6600"/>
        <color rgb="FFFCFCFF"/>
        <color rgb="FF92D050"/>
      </colorScale>
    </cfRule>
  </conditionalFormatting>
  <pageMargins left="0.7" right="0.7" top="0.75" bottom="0.75" header="0.3" footer="0.3"/>
  <pageSetup orientation="portrait" r:id="rId1"/>
  <ignoredErrors>
    <ignoredError sqref="B15:C15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91418-4714-4797-84CC-B18E14540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B19:C22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="68" zoomScaleNormal="96" workbookViewId="0">
      <selection activeCell="T19" sqref="T19"/>
    </sheetView>
  </sheetViews>
  <sheetFormatPr defaultRowHeight="14.4" x14ac:dyDescent="0.3"/>
  <cols>
    <col min="1" max="1" width="9.88671875" style="1" customWidth="1"/>
    <col min="2" max="2" width="17.33203125" style="1" customWidth="1"/>
    <col min="3" max="3" width="20.88671875" style="1" customWidth="1"/>
    <col min="7" max="7" width="50.5546875" customWidth="1"/>
  </cols>
  <sheetData>
    <row r="1" spans="1:8" ht="20.399999999999999" customHeight="1" x14ac:dyDescent="0.3">
      <c r="A1" s="25" t="s">
        <v>2</v>
      </c>
      <c r="B1" s="26" t="s">
        <v>42</v>
      </c>
      <c r="C1" s="27" t="s">
        <v>58</v>
      </c>
    </row>
    <row r="2" spans="1:8" x14ac:dyDescent="0.3">
      <c r="A2" s="23" t="s">
        <v>3</v>
      </c>
      <c r="B2" s="22" t="s">
        <v>46</v>
      </c>
      <c r="C2" s="24">
        <v>0.2</v>
      </c>
    </row>
    <row r="3" spans="1:8" x14ac:dyDescent="0.3">
      <c r="A3" s="23" t="s">
        <v>4</v>
      </c>
      <c r="B3" s="22" t="s">
        <v>55</v>
      </c>
      <c r="C3" s="24">
        <v>0.16</v>
      </c>
    </row>
    <row r="4" spans="1:8" x14ac:dyDescent="0.3">
      <c r="A4" s="23" t="s">
        <v>5</v>
      </c>
      <c r="B4" s="22" t="s">
        <v>47</v>
      </c>
      <c r="C4" s="24">
        <v>0.15</v>
      </c>
    </row>
    <row r="5" spans="1:8" ht="14.4" customHeight="1" x14ac:dyDescent="0.3">
      <c r="A5" s="23" t="s">
        <v>6</v>
      </c>
      <c r="B5" s="22" t="s">
        <v>51</v>
      </c>
      <c r="C5" s="24">
        <v>0.15</v>
      </c>
    </row>
    <row r="6" spans="1:8" ht="15" customHeight="1" x14ac:dyDescent="0.3">
      <c r="A6" s="23" t="s">
        <v>7</v>
      </c>
      <c r="B6" s="22" t="s">
        <v>44</v>
      </c>
      <c r="C6" s="24">
        <v>0.13</v>
      </c>
    </row>
    <row r="7" spans="1:8" ht="18" customHeight="1" x14ac:dyDescent="0.3">
      <c r="A7" s="23" t="s">
        <v>8</v>
      </c>
      <c r="B7" s="22" t="s">
        <v>57</v>
      </c>
      <c r="C7" s="24">
        <v>0.13</v>
      </c>
    </row>
    <row r="8" spans="1:8" ht="16.2" customHeight="1" x14ac:dyDescent="0.3">
      <c r="A8" s="23" t="s">
        <v>9</v>
      </c>
      <c r="B8" s="22" t="s">
        <v>56</v>
      </c>
      <c r="C8" s="24">
        <v>0.11</v>
      </c>
    </row>
    <row r="9" spans="1:8" ht="11.4" customHeight="1" x14ac:dyDescent="0.3">
      <c r="A9" s="23" t="s">
        <v>10</v>
      </c>
      <c r="B9" s="22" t="s">
        <v>43</v>
      </c>
      <c r="C9" s="24">
        <v>0.1</v>
      </c>
    </row>
    <row r="10" spans="1:8" x14ac:dyDescent="0.3">
      <c r="A10" s="23" t="s">
        <v>11</v>
      </c>
      <c r="B10" s="22" t="s">
        <v>53</v>
      </c>
      <c r="C10" s="24">
        <v>0.1</v>
      </c>
    </row>
    <row r="11" spans="1:8" x14ac:dyDescent="0.3">
      <c r="A11" s="23" t="s">
        <v>12</v>
      </c>
      <c r="B11" s="22" t="s">
        <v>49</v>
      </c>
      <c r="C11" s="24">
        <v>0.1</v>
      </c>
    </row>
    <row r="12" spans="1:8" x14ac:dyDescent="0.3">
      <c r="A12" s="23" t="s">
        <v>13</v>
      </c>
      <c r="B12" s="22" t="s">
        <v>54</v>
      </c>
      <c r="C12" s="24">
        <v>0.09</v>
      </c>
    </row>
    <row r="13" spans="1:8" x14ac:dyDescent="0.3">
      <c r="A13" s="23" t="s">
        <v>14</v>
      </c>
      <c r="B13" s="22" t="s">
        <v>50</v>
      </c>
      <c r="C13" s="24">
        <v>0.09</v>
      </c>
      <c r="H13" s="21"/>
    </row>
    <row r="14" spans="1:8" ht="15" customHeight="1" x14ac:dyDescent="0.3">
      <c r="A14" s="23" t="s">
        <v>15</v>
      </c>
      <c r="B14" s="22" t="s">
        <v>45</v>
      </c>
      <c r="C14" s="24">
        <v>0.08</v>
      </c>
    </row>
    <row r="15" spans="1:8" ht="15.6" customHeight="1" x14ac:dyDescent="0.3">
      <c r="A15" s="23" t="s">
        <v>16</v>
      </c>
      <c r="B15" s="22" t="s">
        <v>48</v>
      </c>
      <c r="C15" s="24">
        <v>0.08</v>
      </c>
    </row>
    <row r="16" spans="1:8" ht="15.6" customHeight="1" x14ac:dyDescent="0.3">
      <c r="A16" s="28" t="s">
        <v>17</v>
      </c>
      <c r="B16" s="29" t="s">
        <v>52</v>
      </c>
      <c r="C16" s="30">
        <v>0.08</v>
      </c>
    </row>
  </sheetData>
  <sortState xmlns:xlrd2="http://schemas.microsoft.com/office/spreadsheetml/2017/richdata2" ref="B2:C16">
    <sortCondition descending="1" ref="C2:C16"/>
  </sortState>
  <conditionalFormatting sqref="C2:C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88893-486D-4C5B-ADA0-D74409915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Sales Dashboard</vt:lpstr>
      <vt:lpstr>Regional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yousef nasibi</cp:lastModifiedBy>
  <dcterms:created xsi:type="dcterms:W3CDTF">2015-06-05T18:17:20Z</dcterms:created>
  <dcterms:modified xsi:type="dcterms:W3CDTF">2026-07-07T10:28:19Z</dcterms:modified>
</cp:coreProperties>
</file>