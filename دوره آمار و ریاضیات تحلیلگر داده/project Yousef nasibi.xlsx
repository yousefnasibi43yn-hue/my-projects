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as\Desktop\انجام پروژه\My-Projects\دوره آمار و ریاضیات تحلیلگر داده\"/>
    </mc:Choice>
  </mc:AlternateContent>
  <xr:revisionPtr revIDLastSave="0" documentId="13_ncr:1_{04111820-68F3-43E1-9AA6-0F5407FACB66}" xr6:coauthVersionLast="47" xr6:coauthVersionMax="47" xr10:uidLastSave="{00000000-0000-0000-0000-000000000000}"/>
  <bookViews>
    <workbookView xWindow="-108" yWindow="-108" windowWidth="23256" windowHeight="13896" xr2:uid="{717D98CE-BAAE-48FB-82C4-6263A0F5AC8C}"/>
  </bookViews>
  <sheets>
    <sheet name="advertising_Dataset" sheetId="1" r:id="rId1"/>
    <sheet name="Descriptive Analysis" sheetId="2" r:id="rId2"/>
    <sheet name="Matrix analyst and Dimens" sheetId="3" r:id="rId3"/>
    <sheet name="Predicted Sales" sheetId="6" r:id="rId4"/>
  </sheets>
  <definedNames>
    <definedName name="_xlnm._FilterDatabase" localSheetId="0" hidden="1">advertising_Dataset!$A$1:$J$1</definedName>
    <definedName name="_xlchart.v1.0" hidden="1">advertising_Dataset!$E$1</definedName>
    <definedName name="_xlchart.v1.1" hidden="1">advertising_Dataset!$E$2:$E$201</definedName>
    <definedName name="_xlchart.v1.10" hidden="1">advertising_Dataset!$B$1</definedName>
    <definedName name="_xlchart.v1.11" hidden="1">advertising_Dataset!$B$2:$B$201</definedName>
    <definedName name="_xlchart.v1.12" hidden="1">advertising_Dataset!$D$1</definedName>
    <definedName name="_xlchart.v1.13" hidden="1">advertising_Dataset!$D$2:$D$201</definedName>
    <definedName name="_xlchart.v1.14" hidden="1">advertising_Dataset!$B$1</definedName>
    <definedName name="_xlchart.v1.15" hidden="1">advertising_Dataset!$B$2:$B$201</definedName>
    <definedName name="_xlchart.v1.2" hidden="1">advertising_Dataset!$C$1</definedName>
    <definedName name="_xlchart.v1.3" hidden="1">advertising_Dataset!$C$2:$C$201</definedName>
    <definedName name="_xlchart.v1.4" hidden="1">advertising_Dataset!$C$1</definedName>
    <definedName name="_xlchart.v1.5" hidden="1">advertising_Dataset!$C$2:$C$201</definedName>
    <definedName name="_xlchart.v1.6" hidden="1">advertising_Dataset!$D$1</definedName>
    <definedName name="_xlchart.v1.7" hidden="1">advertising_Dataset!$D$2:$D$201</definedName>
    <definedName name="_xlchart.v1.8" hidden="1">advertising_Dataset!$E$1</definedName>
    <definedName name="_xlchart.v1.9" hidden="1">advertising_Dataset!$E$2:$E$201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6" l="1"/>
  <c r="D5" i="6"/>
  <c r="B5" i="6"/>
  <c r="E2" i="6"/>
  <c r="C27" i="2" l="1"/>
  <c r="B27" i="2"/>
  <c r="E203" i="1"/>
  <c r="E23" i="2" s="1"/>
  <c r="D203" i="1"/>
  <c r="D23" i="2" s="1"/>
  <c r="C201" i="1"/>
  <c r="G129" i="1" s="1"/>
  <c r="B203" i="1"/>
  <c r="B23" i="2" s="1"/>
  <c r="E202" i="1"/>
  <c r="D202" i="1"/>
  <c r="B202" i="1"/>
  <c r="B22" i="2" s="1"/>
  <c r="C33" i="3"/>
  <c r="C32" i="3"/>
  <c r="C31" i="3"/>
  <c r="B32" i="3"/>
  <c r="B33" i="3"/>
  <c r="B31" i="3"/>
  <c r="E29" i="3"/>
  <c r="G33" i="3"/>
  <c r="G3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G9" i="1"/>
  <c r="G30" i="1"/>
  <c r="G5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" i="1"/>
  <c r="D4" i="3"/>
  <c r="B4" i="3"/>
  <c r="D2" i="3"/>
  <c r="B2" i="3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B7" i="2"/>
  <c r="B8" i="2"/>
  <c r="B9" i="2"/>
  <c r="B6" i="2"/>
  <c r="B5" i="2"/>
  <c r="B4" i="2"/>
  <c r="B3" i="2"/>
  <c r="B2" i="2"/>
  <c r="G201" i="1" l="1"/>
  <c r="G187" i="1"/>
  <c r="G185" i="1"/>
  <c r="C2" i="3"/>
  <c r="G184" i="1"/>
  <c r="G167" i="1"/>
  <c r="G130" i="1"/>
  <c r="K2" i="1" a="1"/>
  <c r="C5" i="2"/>
  <c r="G112" i="1"/>
  <c r="G111" i="1"/>
  <c r="G110" i="1"/>
  <c r="G93" i="1"/>
  <c r="G73" i="1"/>
  <c r="G72" i="1"/>
  <c r="G71" i="1"/>
  <c r="B29" i="2"/>
  <c r="B30" i="2"/>
  <c r="E22" i="2"/>
  <c r="D22" i="2"/>
  <c r="G92" i="1"/>
  <c r="G91" i="1"/>
  <c r="B21" i="3"/>
  <c r="D23" i="3"/>
  <c r="B3" i="3"/>
  <c r="G169" i="1"/>
  <c r="G12" i="1"/>
  <c r="G168" i="1"/>
  <c r="G11" i="1"/>
  <c r="C29" i="2"/>
  <c r="B23" i="3"/>
  <c r="D27" i="2"/>
  <c r="F27" i="2" s="1"/>
  <c r="D21" i="3"/>
  <c r="G3" i="1"/>
  <c r="C5" i="6"/>
  <c r="E4" i="6"/>
  <c r="E3" i="6"/>
  <c r="G13" i="1"/>
  <c r="G33" i="1"/>
  <c r="G55" i="1"/>
  <c r="G75" i="1"/>
  <c r="G94" i="1"/>
  <c r="G113" i="1"/>
  <c r="G134" i="1"/>
  <c r="G152" i="1"/>
  <c r="G171" i="1"/>
  <c r="G188" i="1"/>
  <c r="G14" i="1"/>
  <c r="G34" i="1"/>
  <c r="G56" i="1"/>
  <c r="G76" i="1"/>
  <c r="G95" i="1"/>
  <c r="G114" i="1"/>
  <c r="G135" i="1"/>
  <c r="G153" i="1"/>
  <c r="G172" i="1"/>
  <c r="G189" i="1"/>
  <c r="G15" i="1"/>
  <c r="G38" i="1"/>
  <c r="G57" i="1"/>
  <c r="G77" i="1"/>
  <c r="G96" i="1"/>
  <c r="G115" i="1"/>
  <c r="G136" i="1"/>
  <c r="G155" i="1"/>
  <c r="G173" i="1"/>
  <c r="G190" i="1"/>
  <c r="C4" i="2"/>
  <c r="C202" i="1"/>
  <c r="G16" i="1"/>
  <c r="G39" i="1"/>
  <c r="G59" i="1"/>
  <c r="G78" i="1"/>
  <c r="G97" i="1"/>
  <c r="G118" i="1"/>
  <c r="G137" i="1"/>
  <c r="G156" i="1"/>
  <c r="G174" i="1"/>
  <c r="G191" i="1"/>
  <c r="C9" i="2"/>
  <c r="G17" i="1"/>
  <c r="G40" i="1"/>
  <c r="G60" i="1"/>
  <c r="G79" i="1"/>
  <c r="G98" i="1"/>
  <c r="G119" i="1"/>
  <c r="G139" i="1"/>
  <c r="G157" i="1"/>
  <c r="G175" i="1"/>
  <c r="G192" i="1"/>
  <c r="G18" i="1"/>
  <c r="G41" i="1"/>
  <c r="G61" i="1"/>
  <c r="G80" i="1"/>
  <c r="G99" i="1"/>
  <c r="G120" i="1"/>
  <c r="G140" i="1"/>
  <c r="G158" i="1"/>
  <c r="G176" i="1"/>
  <c r="G193" i="1"/>
  <c r="C3" i="2"/>
  <c r="G8" i="1"/>
  <c r="G29" i="1"/>
  <c r="G70" i="1"/>
  <c r="G89" i="1"/>
  <c r="G128" i="1"/>
  <c r="G147" i="1"/>
  <c r="G183" i="1"/>
  <c r="C6" i="2"/>
  <c r="G22" i="1"/>
  <c r="G43" i="1"/>
  <c r="G62" i="1"/>
  <c r="G81" i="1"/>
  <c r="G102" i="1"/>
  <c r="G121" i="1"/>
  <c r="G141" i="1"/>
  <c r="G159" i="1"/>
  <c r="G177" i="1"/>
  <c r="G194" i="1"/>
  <c r="C8" i="2"/>
  <c r="G23" i="1"/>
  <c r="G44" i="1"/>
  <c r="G63" i="1"/>
  <c r="G82" i="1"/>
  <c r="G103" i="1"/>
  <c r="G123" i="1"/>
  <c r="G142" i="1"/>
  <c r="G160" i="1"/>
  <c r="G178" i="1"/>
  <c r="G195" i="1"/>
  <c r="G24" i="1"/>
  <c r="G45" i="1"/>
  <c r="G64" i="1"/>
  <c r="G83" i="1"/>
  <c r="G104" i="1"/>
  <c r="G124" i="1"/>
  <c r="G143" i="1"/>
  <c r="G161" i="1"/>
  <c r="G179" i="1"/>
  <c r="G196" i="1"/>
  <c r="C2" i="2"/>
  <c r="G25" i="1"/>
  <c r="G46" i="1"/>
  <c r="G65" i="1"/>
  <c r="G86" i="1"/>
  <c r="G105" i="1"/>
  <c r="G125" i="1"/>
  <c r="G144" i="1"/>
  <c r="G162" i="1"/>
  <c r="G180" i="1"/>
  <c r="G197" i="1"/>
  <c r="C4" i="3"/>
  <c r="C7" i="2"/>
  <c r="G6" i="1"/>
  <c r="G27" i="1"/>
  <c r="G47" i="1"/>
  <c r="G66" i="1"/>
  <c r="G87" i="1"/>
  <c r="G107" i="1"/>
  <c r="G126" i="1"/>
  <c r="G145" i="1"/>
  <c r="G163" i="1"/>
  <c r="G181" i="1"/>
  <c r="G198" i="1"/>
  <c r="G7" i="1"/>
  <c r="G28" i="1"/>
  <c r="G48" i="1"/>
  <c r="G67" i="1"/>
  <c r="G88" i="1"/>
  <c r="G108" i="1"/>
  <c r="G127" i="1"/>
  <c r="G146" i="1"/>
  <c r="G165" i="1"/>
  <c r="G182" i="1"/>
  <c r="G199" i="1"/>
  <c r="D3" i="3"/>
  <c r="G49" i="1"/>
  <c r="G109" i="1"/>
  <c r="G166" i="1"/>
  <c r="G200" i="1"/>
  <c r="C3" i="3"/>
  <c r="G151" i="1"/>
  <c r="G51" i="1"/>
  <c r="C203" i="1"/>
  <c r="C23" i="2" s="1"/>
  <c r="G150" i="1"/>
  <c r="G50" i="1"/>
  <c r="G149" i="1"/>
  <c r="G32" i="1"/>
  <c r="G131" i="1"/>
  <c r="G31" i="1"/>
  <c r="C30" i="2"/>
  <c r="G186" i="1"/>
  <c r="G170" i="1"/>
  <c r="G154" i="1"/>
  <c r="G138" i="1"/>
  <c r="G122" i="1"/>
  <c r="G106" i="1"/>
  <c r="G90" i="1"/>
  <c r="G74" i="1"/>
  <c r="G58" i="1"/>
  <c r="G42" i="1"/>
  <c r="G26" i="1"/>
  <c r="G10" i="1"/>
  <c r="G133" i="1"/>
  <c r="G117" i="1"/>
  <c r="G101" i="1"/>
  <c r="G85" i="1"/>
  <c r="G69" i="1"/>
  <c r="G53" i="1"/>
  <c r="G37" i="1"/>
  <c r="G21" i="1"/>
  <c r="G5" i="1"/>
  <c r="G164" i="1"/>
  <c r="G148" i="1"/>
  <c r="G132" i="1"/>
  <c r="G116" i="1"/>
  <c r="G100" i="1"/>
  <c r="G84" i="1"/>
  <c r="G68" i="1"/>
  <c r="G52" i="1"/>
  <c r="G36" i="1"/>
  <c r="G20" i="1"/>
  <c r="G4" i="1"/>
  <c r="G35" i="1"/>
  <c r="G19" i="1"/>
  <c r="D29" i="2" l="1"/>
  <c r="E29" i="2" s="1"/>
  <c r="K2" i="1"/>
  <c r="J8" i="1" s="1"/>
  <c r="I8" i="1" s="1"/>
  <c r="J7" i="1"/>
  <c r="I7" i="1" s="1"/>
  <c r="J23" i="1"/>
  <c r="I23" i="1" s="1"/>
  <c r="J39" i="1"/>
  <c r="I39" i="1" s="1"/>
  <c r="J55" i="1"/>
  <c r="I55" i="1" s="1"/>
  <c r="J71" i="1"/>
  <c r="I71" i="1" s="1"/>
  <c r="J87" i="1"/>
  <c r="I87" i="1" s="1"/>
  <c r="J103" i="1"/>
  <c r="I103" i="1" s="1"/>
  <c r="J119" i="1"/>
  <c r="I119" i="1" s="1"/>
  <c r="J135" i="1"/>
  <c r="I135" i="1" s="1"/>
  <c r="J151" i="1"/>
  <c r="I151" i="1" s="1"/>
  <c r="J167" i="1"/>
  <c r="I167" i="1" s="1"/>
  <c r="J183" i="1"/>
  <c r="I183" i="1" s="1"/>
  <c r="J199" i="1"/>
  <c r="I199" i="1" s="1"/>
  <c r="J40" i="1"/>
  <c r="I40" i="1" s="1"/>
  <c r="J56" i="1"/>
  <c r="I56" i="1" s="1"/>
  <c r="J72" i="1"/>
  <c r="I72" i="1" s="1"/>
  <c r="J88" i="1"/>
  <c r="I88" i="1" s="1"/>
  <c r="J104" i="1"/>
  <c r="I104" i="1" s="1"/>
  <c r="J120" i="1"/>
  <c r="I120" i="1" s="1"/>
  <c r="J136" i="1"/>
  <c r="I136" i="1" s="1"/>
  <c r="J152" i="1"/>
  <c r="I152" i="1" s="1"/>
  <c r="J168" i="1"/>
  <c r="I168" i="1" s="1"/>
  <c r="J184" i="1"/>
  <c r="I184" i="1" s="1"/>
  <c r="J200" i="1"/>
  <c r="I200" i="1" s="1"/>
  <c r="J9" i="1"/>
  <c r="I9" i="1" s="1"/>
  <c r="J25" i="1"/>
  <c r="I25" i="1" s="1"/>
  <c r="J41" i="1"/>
  <c r="I41" i="1" s="1"/>
  <c r="J89" i="1"/>
  <c r="I89" i="1" s="1"/>
  <c r="J105" i="1"/>
  <c r="I105" i="1" s="1"/>
  <c r="J121" i="1"/>
  <c r="I121" i="1" s="1"/>
  <c r="J137" i="1"/>
  <c r="I137" i="1" s="1"/>
  <c r="J153" i="1"/>
  <c r="I153" i="1" s="1"/>
  <c r="J169" i="1"/>
  <c r="I169" i="1" s="1"/>
  <c r="J185" i="1"/>
  <c r="I185" i="1" s="1"/>
  <c r="J201" i="1"/>
  <c r="I201" i="1" s="1"/>
  <c r="J21" i="1"/>
  <c r="I21" i="1" s="1"/>
  <c r="J43" i="1"/>
  <c r="I43" i="1" s="1"/>
  <c r="J62" i="1"/>
  <c r="I62" i="1" s="1"/>
  <c r="J81" i="1"/>
  <c r="I81" i="1" s="1"/>
  <c r="J100" i="1"/>
  <c r="I100" i="1" s="1"/>
  <c r="J122" i="1"/>
  <c r="I122" i="1" s="1"/>
  <c r="J179" i="1"/>
  <c r="I179" i="1" s="1"/>
  <c r="J198" i="1"/>
  <c r="I198" i="1" s="1"/>
  <c r="J3" i="1"/>
  <c r="I3" i="1" s="1"/>
  <c r="J22" i="1"/>
  <c r="I22" i="1" s="1"/>
  <c r="J44" i="1"/>
  <c r="I44" i="1" s="1"/>
  <c r="J63" i="1"/>
  <c r="I63" i="1" s="1"/>
  <c r="J82" i="1"/>
  <c r="I82" i="1" s="1"/>
  <c r="J101" i="1"/>
  <c r="I101" i="1" s="1"/>
  <c r="J123" i="1"/>
  <c r="I123" i="1" s="1"/>
  <c r="J142" i="1"/>
  <c r="I142" i="1" s="1"/>
  <c r="J161" i="1"/>
  <c r="I161" i="1" s="1"/>
  <c r="J180" i="1"/>
  <c r="I180" i="1" s="1"/>
  <c r="J4" i="1"/>
  <c r="I4" i="1" s="1"/>
  <c r="J26" i="1"/>
  <c r="I26" i="1" s="1"/>
  <c r="J83" i="1"/>
  <c r="I83" i="1" s="1"/>
  <c r="J102" i="1"/>
  <c r="I102" i="1" s="1"/>
  <c r="J124" i="1"/>
  <c r="I124" i="1" s="1"/>
  <c r="J143" i="1"/>
  <c r="I143" i="1" s="1"/>
  <c r="J162" i="1"/>
  <c r="I162" i="1" s="1"/>
  <c r="J181" i="1"/>
  <c r="I181" i="1" s="1"/>
  <c r="J5" i="1"/>
  <c r="I5" i="1" s="1"/>
  <c r="J27" i="1"/>
  <c r="I27" i="1" s="1"/>
  <c r="J46" i="1"/>
  <c r="I46" i="1" s="1"/>
  <c r="J65" i="1"/>
  <c r="I65" i="1" s="1"/>
  <c r="J84" i="1"/>
  <c r="I84" i="1" s="1"/>
  <c r="J106" i="1"/>
  <c r="I106" i="1" s="1"/>
  <c r="J125" i="1"/>
  <c r="I125" i="1" s="1"/>
  <c r="J144" i="1"/>
  <c r="I144" i="1" s="1"/>
  <c r="J29" i="1"/>
  <c r="I29" i="1" s="1"/>
  <c r="J52" i="1"/>
  <c r="I52" i="1" s="1"/>
  <c r="J78" i="1"/>
  <c r="I78" i="1" s="1"/>
  <c r="J108" i="1"/>
  <c r="I108" i="1" s="1"/>
  <c r="J131" i="1"/>
  <c r="I131" i="1" s="1"/>
  <c r="J157" i="1"/>
  <c r="I157" i="1" s="1"/>
  <c r="J187" i="1"/>
  <c r="I187" i="1" s="1"/>
  <c r="J30" i="1"/>
  <c r="I30" i="1" s="1"/>
  <c r="J53" i="1"/>
  <c r="I53" i="1" s="1"/>
  <c r="J79" i="1"/>
  <c r="I79" i="1" s="1"/>
  <c r="J109" i="1"/>
  <c r="I109" i="1" s="1"/>
  <c r="J132" i="1"/>
  <c r="I132" i="1" s="1"/>
  <c r="J158" i="1"/>
  <c r="I158" i="1" s="1"/>
  <c r="J188" i="1"/>
  <c r="I188" i="1" s="1"/>
  <c r="J80" i="1"/>
  <c r="I80" i="1" s="1"/>
  <c r="J110" i="1"/>
  <c r="I110" i="1" s="1"/>
  <c r="J133" i="1"/>
  <c r="I133" i="1" s="1"/>
  <c r="J159" i="1"/>
  <c r="I159" i="1" s="1"/>
  <c r="J189" i="1"/>
  <c r="I189" i="1" s="1"/>
  <c r="J6" i="1"/>
  <c r="I6" i="1" s="1"/>
  <c r="J32" i="1"/>
  <c r="I32" i="1" s="1"/>
  <c r="J58" i="1"/>
  <c r="I58" i="1" s="1"/>
  <c r="J85" i="1"/>
  <c r="I85" i="1" s="1"/>
  <c r="J111" i="1"/>
  <c r="I111" i="1" s="1"/>
  <c r="J134" i="1"/>
  <c r="I134" i="1" s="1"/>
  <c r="J164" i="1"/>
  <c r="I164" i="1" s="1"/>
  <c r="J190" i="1"/>
  <c r="I190" i="1" s="1"/>
  <c r="J2" i="1"/>
  <c r="I2" i="1" s="1"/>
  <c r="J59" i="1"/>
  <c r="I59" i="1" s="1"/>
  <c r="J86" i="1"/>
  <c r="I86" i="1" s="1"/>
  <c r="J112" i="1"/>
  <c r="I112" i="1" s="1"/>
  <c r="J138" i="1"/>
  <c r="I138" i="1" s="1"/>
  <c r="J165" i="1"/>
  <c r="I165" i="1" s="1"/>
  <c r="J191" i="1"/>
  <c r="I191" i="1" s="1"/>
  <c r="J11" i="1"/>
  <c r="I11" i="1" s="1"/>
  <c r="J34" i="1"/>
  <c r="I34" i="1" s="1"/>
  <c r="J60" i="1"/>
  <c r="I60" i="1" s="1"/>
  <c r="J90" i="1"/>
  <c r="I90" i="1" s="1"/>
  <c r="J113" i="1"/>
  <c r="I113" i="1" s="1"/>
  <c r="J139" i="1"/>
  <c r="I139" i="1" s="1"/>
  <c r="J166" i="1"/>
  <c r="I166" i="1" s="1"/>
  <c r="J16" i="1"/>
  <c r="I16" i="1" s="1"/>
  <c r="J146" i="1"/>
  <c r="I146" i="1" s="1"/>
  <c r="J178" i="1"/>
  <c r="I178" i="1" s="1"/>
  <c r="J17" i="1"/>
  <c r="I17" i="1" s="1"/>
  <c r="J66" i="1"/>
  <c r="I66" i="1" s="1"/>
  <c r="J98" i="1"/>
  <c r="I98" i="1" s="1"/>
  <c r="J147" i="1"/>
  <c r="I147" i="1" s="1"/>
  <c r="J186" i="1"/>
  <c r="I186" i="1" s="1"/>
  <c r="J18" i="1"/>
  <c r="I18" i="1" s="1"/>
  <c r="J67" i="1"/>
  <c r="I67" i="1" s="1"/>
  <c r="J99" i="1"/>
  <c r="I99" i="1" s="1"/>
  <c r="J148" i="1"/>
  <c r="I148" i="1" s="1"/>
  <c r="J192" i="1"/>
  <c r="I192" i="1" s="1"/>
  <c r="J19" i="1"/>
  <c r="I19" i="1" s="1"/>
  <c r="J68" i="1"/>
  <c r="I68" i="1" s="1"/>
  <c r="J193" i="1"/>
  <c r="I193" i="1" s="1"/>
  <c r="J20" i="1"/>
  <c r="I20" i="1" s="1"/>
  <c r="J69" i="1"/>
  <c r="I69" i="1" s="1"/>
  <c r="J114" i="1"/>
  <c r="I114" i="1" s="1"/>
  <c r="J150" i="1"/>
  <c r="I150" i="1" s="1"/>
  <c r="J194" i="1"/>
  <c r="I194" i="1" s="1"/>
  <c r="J28" i="1"/>
  <c r="I28" i="1" s="1"/>
  <c r="J70" i="1"/>
  <c r="I70" i="1" s="1"/>
  <c r="J115" i="1"/>
  <c r="I115" i="1" s="1"/>
  <c r="J154" i="1"/>
  <c r="I154" i="1" s="1"/>
  <c r="J195" i="1"/>
  <c r="I195" i="1" s="1"/>
  <c r="J35" i="1"/>
  <c r="I35" i="1" s="1"/>
  <c r="J74" i="1"/>
  <c r="I74" i="1" s="1"/>
  <c r="J116" i="1"/>
  <c r="I116" i="1" s="1"/>
  <c r="J36" i="1"/>
  <c r="I36" i="1" s="1"/>
  <c r="J75" i="1"/>
  <c r="I75" i="1" s="1"/>
  <c r="J117" i="1"/>
  <c r="I117" i="1" s="1"/>
  <c r="J156" i="1"/>
  <c r="I156" i="1" s="1"/>
  <c r="J197" i="1"/>
  <c r="I197" i="1" s="1"/>
  <c r="J37" i="1"/>
  <c r="I37" i="1" s="1"/>
  <c r="J76" i="1"/>
  <c r="I76" i="1" s="1"/>
  <c r="J118" i="1"/>
  <c r="I118" i="1" s="1"/>
  <c r="J170" i="1"/>
  <c r="I170" i="1" s="1"/>
  <c r="J38" i="1"/>
  <c r="I38" i="1" s="1"/>
  <c r="J77" i="1"/>
  <c r="I77" i="1" s="1"/>
  <c r="J126" i="1"/>
  <c r="I126" i="1" s="1"/>
  <c r="J171" i="1"/>
  <c r="I171" i="1" s="1"/>
  <c r="J42" i="1"/>
  <c r="I42" i="1" s="1"/>
  <c r="J172" i="1"/>
  <c r="I172" i="1" s="1"/>
  <c r="J47" i="1"/>
  <c r="I47" i="1" s="1"/>
  <c r="J92" i="1"/>
  <c r="I92" i="1" s="1"/>
  <c r="J128" i="1"/>
  <c r="I128" i="1" s="1"/>
  <c r="J173" i="1"/>
  <c r="I173" i="1" s="1"/>
  <c r="J12" i="1"/>
  <c r="I12" i="1" s="1"/>
  <c r="J48" i="1"/>
  <c r="I48" i="1" s="1"/>
  <c r="J93" i="1"/>
  <c r="I93" i="1" s="1"/>
  <c r="J129" i="1"/>
  <c r="I129" i="1" s="1"/>
  <c r="J174" i="1"/>
  <c r="I174" i="1" s="1"/>
  <c r="J13" i="1"/>
  <c r="I13" i="1" s="1"/>
  <c r="J49" i="1"/>
  <c r="I49" i="1" s="1"/>
  <c r="J94" i="1"/>
  <c r="I94" i="1" s="1"/>
  <c r="J130" i="1"/>
  <c r="I130" i="1" s="1"/>
  <c r="J50" i="1"/>
  <c r="I50" i="1" s="1"/>
  <c r="J95" i="1"/>
  <c r="I95" i="1" s="1"/>
  <c r="J140" i="1"/>
  <c r="I140" i="1" s="1"/>
  <c r="J176" i="1"/>
  <c r="I176" i="1" s="1"/>
  <c r="J15" i="1"/>
  <c r="I15" i="1" s="1"/>
  <c r="J51" i="1"/>
  <c r="I51" i="1" s="1"/>
  <c r="J96" i="1"/>
  <c r="I96" i="1" s="1"/>
  <c r="J145" i="1"/>
  <c r="I145" i="1" s="1"/>
  <c r="J177" i="1"/>
  <c r="I177" i="1" s="1"/>
  <c r="F29" i="2"/>
  <c r="B35" i="2" s="1"/>
  <c r="C21" i="3"/>
  <c r="D30" i="2"/>
  <c r="F30" i="2" s="1"/>
  <c r="C22" i="2"/>
  <c r="C28" i="2"/>
  <c r="C23" i="3"/>
  <c r="D22" i="3"/>
  <c r="E27" i="2"/>
  <c r="B33" i="2" s="1"/>
  <c r="B28" i="2"/>
  <c r="B22" i="3"/>
  <c r="C22" i="3"/>
  <c r="J14" i="1" l="1"/>
  <c r="I14" i="1" s="1"/>
  <c r="J127" i="1"/>
  <c r="I127" i="1" s="1"/>
  <c r="J196" i="1"/>
  <c r="I196" i="1" s="1"/>
  <c r="J149" i="1"/>
  <c r="I149" i="1" s="1"/>
  <c r="J97" i="1"/>
  <c r="I97" i="1" s="1"/>
  <c r="J33" i="1"/>
  <c r="I33" i="1" s="1"/>
  <c r="J54" i="1"/>
  <c r="I54" i="1" s="1"/>
  <c r="J182" i="1"/>
  <c r="I182" i="1" s="1"/>
  <c r="J64" i="1"/>
  <c r="I64" i="1" s="1"/>
  <c r="J160" i="1"/>
  <c r="I160" i="1" s="1"/>
  <c r="J73" i="1"/>
  <c r="I73" i="1" s="1"/>
  <c r="J24" i="1"/>
  <c r="I24" i="1" s="1"/>
  <c r="J175" i="1"/>
  <c r="I175" i="1" s="1"/>
  <c r="J91" i="1"/>
  <c r="I91" i="1" s="1"/>
  <c r="J155" i="1"/>
  <c r="I155" i="1" s="1"/>
  <c r="J107" i="1"/>
  <c r="I107" i="1" s="1"/>
  <c r="J61" i="1"/>
  <c r="I61" i="1" s="1"/>
  <c r="J10" i="1"/>
  <c r="I10" i="1" s="1"/>
  <c r="J31" i="1"/>
  <c r="I31" i="1" s="1"/>
  <c r="J163" i="1"/>
  <c r="I163" i="1" s="1"/>
  <c r="J45" i="1"/>
  <c r="I45" i="1" s="1"/>
  <c r="J141" i="1"/>
  <c r="I141" i="1" s="1"/>
  <c r="J57" i="1"/>
  <c r="I57" i="1" s="1"/>
  <c r="D28" i="2"/>
  <c r="F28" i="2" s="1"/>
  <c r="E30" i="2"/>
  <c r="B36" i="2" s="1"/>
  <c r="E28" i="2" l="1"/>
  <c r="B3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<sst xmlns="http://schemas.openxmlformats.org/spreadsheetml/2006/main" count="220" uniqueCount="106">
  <si>
    <t>TV</t>
  </si>
  <si>
    <t>Radio</t>
  </si>
  <si>
    <t>Newspaper</t>
  </si>
  <si>
    <t>Sales</t>
  </si>
  <si>
    <t>Row</t>
  </si>
  <si>
    <t xml:space="preserve">هزینه ها به دلار در نظر گرفته شده است </t>
  </si>
  <si>
    <t>Indicators</t>
  </si>
  <si>
    <t>Mean</t>
  </si>
  <si>
    <t>Median</t>
  </si>
  <si>
    <t>Mode</t>
  </si>
  <si>
    <t>Variance</t>
  </si>
  <si>
    <t>Standard Deviation</t>
  </si>
  <si>
    <t>Range</t>
  </si>
  <si>
    <t>Maximum</t>
  </si>
  <si>
    <t>Minimum</t>
  </si>
  <si>
    <t>پرهزینه و بسیار متغیر</t>
  </si>
  <si>
    <t>کم‌هزینه‌تر و متعادل‌تر</t>
  </si>
  <si>
    <t xml:space="preserve">نامنظم </t>
  </si>
  <si>
    <t>متمرکزتر و با نوسان متوسط</t>
  </si>
  <si>
    <t>پیوسته/مستقل</t>
  </si>
  <si>
    <t>پیوسته/وابسته</t>
  </si>
  <si>
    <t>a-λ</t>
  </si>
  <si>
    <t>b</t>
  </si>
  <si>
    <t>c</t>
  </si>
  <si>
    <t>d</t>
  </si>
  <si>
    <t>f</t>
  </si>
  <si>
    <t>g</t>
  </si>
  <si>
    <t>h</t>
  </si>
  <si>
    <t>∣A∣=a(ei−fh)−b(di−fg)+c(dh−eg)</t>
  </si>
  <si>
    <t>e-λ</t>
  </si>
  <si>
    <t>i-λ</t>
  </si>
  <si>
    <t>−2.343477</t>
  </si>
  <si>
    <t>−7152.865677</t>
  </si>
  <si>
    <t>−6898.984077​</t>
  </si>
  <si>
    <t xml:space="preserve"> </t>
  </si>
  <si>
    <t>Pc1</t>
  </si>
  <si>
    <t>Pc2</t>
  </si>
  <si>
    <t>Pc3</t>
  </si>
  <si>
    <t>(Σ−λ 1 I)v=0</t>
  </si>
  <si>
    <t>(−0.999829)^2</t>
  </si>
  <si>
    <t>(−0.010014)^2</t>
  </si>
  <si>
    <t>(−0.015516)^2</t>
  </si>
  <si>
    <t>λ1​≈7373.29</t>
  </si>
  <si>
    <t>λ2​≈476</t>
  </si>
  <si>
    <t>λ3​≈216</t>
  </si>
  <si>
    <t>Radio_Standard</t>
  </si>
  <si>
    <t>TV-Standard</t>
  </si>
  <si>
    <t>Newspaper_Standard</t>
  </si>
  <si>
    <t xml:space="preserve">در این حالت (بالا) ماتریس کوواریانس بدون استاندارد سازی </t>
  </si>
  <si>
    <t xml:space="preserve">در حالت استانداردسازی به شرح زیر است </t>
  </si>
  <si>
    <t>pc1 , pc2</t>
  </si>
  <si>
    <t>Df=(n-1)</t>
  </si>
  <si>
    <t>Explained Variance Ratio</t>
  </si>
  <si>
    <t>Cumulative Variance</t>
  </si>
  <si>
    <t>Eigenvalues</t>
  </si>
  <si>
    <t>Explained Variance Ratio SVD</t>
  </si>
  <si>
    <t>Cumulative Variance SVD</t>
  </si>
  <si>
    <t>مجموع</t>
  </si>
  <si>
    <t>Missing Values</t>
  </si>
  <si>
    <t>count</t>
  </si>
  <si>
    <t>Q1</t>
  </si>
  <si>
    <t>Q3</t>
  </si>
  <si>
    <t>IQR</t>
  </si>
  <si>
    <t>Lower Bound</t>
  </si>
  <si>
    <t>Upper Bound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</si>
  <si>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</si>
  <si>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</si>
  <si>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</si>
  <si>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</si>
  <si>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</si>
  <si>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</si>
  <si>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</si>
  <si>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</si>
  <si>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</si>
  <si>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</si>
  <si>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</si>
  <si>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</si>
  <si>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</si>
  <si>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</si>
  <si>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</si>
  <si>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</si>
  <si>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</si>
  <si>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</si>
  <si>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</si>
  <si>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</si>
  <si>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</si>
  <si>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</si>
  <si>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</si>
  <si>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</si>
  <si>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</si>
  <si>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</si>
  <si>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</t>
  </si>
  <si>
    <t>Residuals</t>
  </si>
  <si>
    <t>Number of outliers</t>
  </si>
  <si>
    <t>General situation</t>
  </si>
  <si>
    <t>Variable type</t>
  </si>
  <si>
    <t>main component</t>
  </si>
  <si>
    <t>special amount</t>
  </si>
  <si>
    <t>Main component</t>
  </si>
  <si>
    <t>Coeff Newspaper</t>
  </si>
  <si>
    <t>Coeff Radio</t>
  </si>
  <si>
    <t>Coeff TV</t>
  </si>
  <si>
    <t>Sales=2.9502+0.0459(TV)+0.1882(Radio)−0.0013(Newspaper)</t>
  </si>
  <si>
    <t>Coefficients Newspaper</t>
  </si>
  <si>
    <t>Coefficients Radio</t>
  </si>
  <si>
    <t>Coefficients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</si>
</sst>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00"/>
    <numFmt numFmtId="167" formatCode="0.000E+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rgb="FFFFFF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2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u/>
      <sz val="11"/>
      <color rgb="FFFFFF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/>
    <xf numFmtId="1" fontId="0" fillId="0" borderId="0" xfId="0" applyNumberFormat="1"/>
    <xf numFmtId="1" fontId="18" fillId="0" borderId="10" xfId="0" applyNumberFormat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164" fontId="0" fillId="0" borderId="11" xfId="0" applyNumberFormat="1" applyFill="1" applyBorder="1" applyAlignment="1">
      <alignment horizontal="center" vertical="center"/>
    </xf>
    <xf numFmtId="0" fontId="0" fillId="0" borderId="10" xfId="0" applyBorder="1"/>
    <xf numFmtId="10" fontId="0" fillId="0" borderId="0" xfId="0" applyNumberFormat="1" applyBorder="1" applyAlignment="1">
      <alignment horizontal="center" vertical="center"/>
    </xf>
    <xf numFmtId="2" fontId="0" fillId="0" borderId="0" xfId="0" applyNumberFormat="1" applyBorder="1"/>
    <xf numFmtId="0" fontId="20" fillId="0" borderId="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19" fillId="36" borderId="15" xfId="0" applyFont="1" applyFill="1" applyBorder="1" applyAlignment="1">
      <alignment horizontal="center" vertical="center"/>
    </xf>
    <xf numFmtId="9" fontId="0" fillId="0" borderId="0" xfId="0" applyNumberFormat="1"/>
    <xf numFmtId="9" fontId="0" fillId="0" borderId="0" xfId="42" applyNumberFormat="1" applyFont="1"/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0" fontId="24" fillId="34" borderId="10" xfId="0" applyFont="1" applyFill="1" applyBorder="1" applyAlignment="1">
      <alignment horizontal="center" vertical="center"/>
    </xf>
    <xf numFmtId="0" fontId="25" fillId="34" borderId="0" xfId="0" applyFont="1" applyFill="1"/>
    <xf numFmtId="0" fontId="25" fillId="34" borderId="10" xfId="0" applyFont="1" applyFill="1" applyBorder="1" applyAlignment="1">
      <alignment horizontal="center" vertical="center"/>
    </xf>
    <xf numFmtId="0" fontId="25" fillId="34" borderId="10" xfId="0" applyFont="1" applyFill="1" applyBorder="1"/>
    <xf numFmtId="0" fontId="0" fillId="0" borderId="10" xfId="0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 vertical="center"/>
    </xf>
    <xf numFmtId="0" fontId="26" fillId="33" borderId="10" xfId="0" applyFont="1" applyFill="1" applyBorder="1"/>
    <xf numFmtId="0" fontId="29" fillId="34" borderId="10" xfId="0" applyFont="1" applyFill="1" applyBorder="1" applyAlignment="1">
      <alignment horizontal="center" vertical="center"/>
    </xf>
    <xf numFmtId="0" fontId="30" fillId="33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8" fillId="34" borderId="10" xfId="0" applyFont="1" applyFill="1" applyBorder="1" applyAlignment="1">
      <alignment horizontal="center" vertical="center"/>
    </xf>
    <xf numFmtId="0" fontId="29" fillId="34" borderId="13" xfId="0" applyFont="1" applyFill="1" applyBorder="1" applyAlignment="1">
      <alignment horizontal="center" vertical="center"/>
    </xf>
    <xf numFmtId="0" fontId="30" fillId="33" borderId="16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/>
    </xf>
    <xf numFmtId="0" fontId="26" fillId="33" borderId="10" xfId="0" applyFont="1" applyFill="1" applyBorder="1" applyAlignment="1">
      <alignment horizontal="center" vertical="center"/>
    </xf>
    <xf numFmtId="0" fontId="27" fillId="34" borderId="10" xfId="0" applyFont="1" applyFill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4" fillId="33" borderId="10" xfId="0" applyFont="1" applyFill="1" applyBorder="1" applyAlignment="1">
      <alignment horizontal="center" vertical="center"/>
    </xf>
    <xf numFmtId="167" fontId="0" fillId="0" borderId="10" xfId="0" applyNumberFormat="1" applyFill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0" fontId="18" fillId="0" borderId="11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0" fontId="32" fillId="35" borderId="10" xfId="0" applyFont="1" applyFill="1" applyBorder="1" applyAlignment="1">
      <alignment horizontal="center" vertical="center"/>
    </xf>
    <xf numFmtId="0" fontId="18" fillId="0" borderId="10" xfId="0" applyFont="1" applyBorder="1"/>
    <xf numFmtId="164" fontId="27" fillId="0" borderId="10" xfId="0" applyNumberFormat="1" applyFont="1" applyBorder="1" applyAlignment="1">
      <alignment horizontal="center" vertical="center"/>
    </xf>
    <xf numFmtId="166" fontId="0" fillId="0" borderId="10" xfId="0" applyNumberFormat="1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29" fillId="40" borderId="1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42" borderId="0" xfId="0" applyFill="1"/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33" fillId="41" borderId="15" xfId="0" applyFont="1" applyFill="1" applyBorder="1" applyAlignment="1">
      <alignment horizontal="center" vertical="center"/>
    </xf>
    <xf numFmtId="0" fontId="33" fillId="41" borderId="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31" fillId="34" borderId="1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/>
    </xf>
    <xf numFmtId="0" fontId="27" fillId="33" borderId="0" xfId="0" applyFont="1" applyFill="1" applyAlignment="1">
      <alignment horizontal="center"/>
    </xf>
    <xf numFmtId="0" fontId="27" fillId="39" borderId="0" xfId="0" applyFont="1" applyFill="1" applyAlignment="1">
      <alignment horizontal="center"/>
    </xf>
    <xf numFmtId="0" fontId="19" fillId="33" borderId="1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variance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'Matrix analyst and Dimens'!$A$12</c:f>
              <c:strCache>
                <c:ptCount val="1"/>
                <c:pt idx="0">
                  <c:v>Pc1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'Matrix analyst and Dimens'!$B$11</c:f>
              <c:strCache>
                <c:ptCount val="1"/>
                <c:pt idx="0">
                  <c:v>Explained Variance Ratio</c:v>
                </c:pt>
              </c:strCache>
            </c:strRef>
          </c:cat>
          <c:val>
            <c:numRef>
              <c:f>'Matrix analyst and Dimens'!$B$12</c:f>
              <c:numCache>
                <c:formatCode>0.00%</c:formatCode>
                <c:ptCount val="1"/>
                <c:pt idx="0">
                  <c:v>0.91420000000000001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6-44A7-BA07-04DF9F32818C}"/>
            </c:ext>
          </c:extLst>
        </c:ser>
        <c:ser>
          <c:idx val="1"/>
          <c:order val="1"/>
          <c:tx>
            <c:strRef>
              <c:f>'Matrix analyst and Dimens'!$A$13</c:f>
              <c:strCache>
                <c:ptCount val="1"/>
                <c:pt idx="0">
                  <c:v>Pc2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'Matrix analyst and Dimens'!$B$11</c:f>
              <c:strCache>
                <c:ptCount val="1"/>
                <c:pt idx="0">
                  <c:v>Explained Variance Ratio</c:v>
                </c:pt>
              </c:strCache>
            </c:strRef>
          </c:cat>
          <c:val>
            <c:numRef>
              <c:f>'Matrix analyst and Dimens'!$B$13</c:f>
              <c:numCache>
                <c:formatCode>0.00%</c:formatCode>
                <c:ptCount val="1"/>
                <c:pt idx="0">
                  <c:v>6.4000000000000001E-2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6-44A7-BA07-04DF9F32818C}"/>
            </c:ext>
          </c:extLst>
        </c:ser>
        <c:ser>
          <c:idx val="2"/>
          <c:order val="2"/>
          <c:tx>
            <c:strRef>
              <c:f>'Matrix analyst and Dimens'!$A$14</c:f>
              <c:strCache>
                <c:ptCount val="1"/>
                <c:pt idx="0">
                  <c:v>Pc3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'Matrix analyst and Dimens'!$B$11</c:f>
              <c:strCache>
                <c:ptCount val="1"/>
                <c:pt idx="0">
                  <c:v>Explained Variance Ratio</c:v>
                </c:pt>
              </c:strCache>
            </c:strRef>
          </c:cat>
          <c:val>
            <c:numRef>
              <c:f>'Matrix analyst and Dimens'!$B$14</c:f>
              <c:numCache>
                <c:formatCode>0.00%</c:formatCode>
                <c:ptCount val="1"/>
                <c:pt idx="0">
                  <c:v>2.1899999999999999E-2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46-44A7-BA07-04DF9F3281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00831823"/>
        <c:axId val="1700841903"/>
      </c:barChart>
      <c:catAx>
        <c:axId val="170083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41903"/>
        <c:crosses val="autoZero"/>
        <c:auto val="1"/>
        <c:lblAlgn val="ctr"/>
        <c:lblOffset val="100"/>
        <c:noMultiLvlLbl val="0"/>
      </c:catAx>
      <c:valAx>
        <c:axId val="1700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3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Unstandardized principal component scatter plot</a:t>
            </a:r>
            <a:endParaRPr lang="fa-I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'Matrix analyst and Dimens'!$E$11</c:f>
              <c:strCache>
                <c:ptCount val="1"/>
                <c:pt idx="0">
                  <c:v>special amount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4.9554540415272519E-2"/>
                  <c:y val="2.17316004644400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D4-42F7-B72B-B9ED601F004E}"/>
                </c:ext>
              </c:extLst>
            </c:dLbl>
            <c:dLbl>
              <c:idx val="1"/>
              <c:layout>
                <c:manualLayout>
                  <c:x val="-6.197039078667547E-3"/>
                  <c:y val="-0.1889251529432426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D4-42F7-B72B-B9ED601F004E}"/>
                </c:ext>
              </c:extLst>
            </c:dLbl>
            <c:dLbl>
              <c:idx val="2"/>
              <c:layout>
                <c:manualLayout>
                  <c:x val="-2.9834772561826872E-2"/>
                  <c:y val="-7.74009893744694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D4-42F7-B72B-B9ED601F00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strRef>
              <c:f>'Matrix analyst and Dimens'!$D$12:$D$14</c:f>
              <c:strCache>
                <c:ptCount val="3"/>
                <c:pt idx="0">
                  <c:v>Pc1</c:v>
                </c:pt>
                <c:pt idx="1">
                  <c:v>Pc2</c:v>
                </c:pt>
                <c:pt idx="2">
                  <c:v>Pc3</c:v>
                </c:pt>
              </c:strCache>
            </c:strRef>
          </c:xVal>
          <c:yVal>
            <c:numRef>
              <c:f>'Matrix analyst and Dimens'!$E$12:$E$14</c:f>
              <c:numCache>
                <c:formatCode>0.00</c:formatCode>
                <c:ptCount val="3"/>
                <c:pt idx="0">
                  <c:v>7373.293377</c:v>
                </c:pt>
                <c:pt idx="1">
                  <c:v>516.07662600000003</c:v>
                </c:pt>
                <c:pt idx="2">
                  <c:v>176.31595899999999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D4-42F7-B72B-B9ED601F00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4980607"/>
        <c:axId val="1784970527"/>
      </c:scatterChart>
      <c:valAx>
        <c:axId val="178498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70527"/>
        <c:crosses val="autoZero"/>
        <c:crossBetween val="midCat"/>
      </c:valAx>
      <c:valAx>
        <c:axId val="178497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8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Standardized principal components scatterplot</a:t>
            </a:r>
            <a:endParaRPr lang="fa-I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'Matrix analyst and Dimens'!$E$25</c:f>
              <c:strCache>
                <c:ptCount val="1"/>
                <c:pt idx="0">
                  <c:v>Eigenvalues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0.12089124823514745"/>
                  <c:y val="0.101866132547432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E1-4C50-94A4-9E1D3CF36E3F}"/>
                </c:ext>
              </c:extLst>
            </c:dLbl>
            <c:dLbl>
              <c:idx val="1"/>
              <c:layout>
                <c:manualLayout>
                  <c:x val="3.509745916504281E-2"/>
                  <c:y val="-5.0933066273716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E1-4C50-94A4-9E1D3CF36E3F}"/>
                </c:ext>
              </c:extLst>
            </c:dLbl>
            <c:dLbl>
              <c:idx val="2"/>
              <c:layout>
                <c:manualLayout>
                  <c:x val="3.509745916504281E-2"/>
                  <c:y val="-1.4552304649633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E1-4C50-94A4-9E1D3CF36E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'Matrix analyst and Dimens'!$D$26:$D$28</c:f>
              <c:strCache>
                <c:ptCount val="3"/>
                <c:pt idx="0">
                  <c:v>Pc1</c:v>
                </c:pt>
                <c:pt idx="1">
                  <c:v>Pc2</c:v>
                </c:pt>
                <c:pt idx="2">
                  <c:v>Pc3</c:v>
                </c:pt>
              </c:strCache>
            </c:strRef>
          </c:xVal>
          <c:yVal>
            <c:numRef>
              <c:f>'Matrix analyst and Dimens'!$E$26:$E$28</c:f>
              <c:numCache>
                <c:formatCode>0.0000</c:formatCode>
                <c:ptCount val="3"/>
                <c:pt idx="0">
                  <c:v>1.3708530000000001</c:v>
                </c:pt>
                <c:pt idx="1">
                  <c:v>0.98325600000000002</c:v>
                </c:pt>
                <c:pt idx="2">
                  <c:v>0.64589099999999999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9-4C67-BF54-4A6FED42A4B5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784974847"/>
        <c:axId val="1784968127"/>
      </c:scatterChart>
      <c:valAx>
        <c:axId val="178497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68127"/>
        <c:crosses val="autoZero"/>
        <c:crossBetween val="midCat"/>
      </c:valAx>
      <c:valAx>
        <c:axId val="178496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7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variance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'Matrix analyst and Dimens'!$A$26</c:f>
              <c:strCache>
                <c:ptCount val="1"/>
                <c:pt idx="0">
                  <c:v>Pc1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8.771929824561403E-2"/>
                  <c:y val="-1.40056022408963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4A-4A50-97DF-757CF656E4B7}"/>
                </c:ext>
              </c:extLst>
            </c:dLbl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'Matrix analyst and Dimens'!$B$26</c:f>
              <c:numCache>
                <c:formatCode>0.00%</c:formatCode>
                <c:ptCount val="1"/>
                <c:pt idx="0">
                  <c:v>0.45700000000000002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A-4A50-97DF-757CF656E4B7}"/>
            </c:ext>
          </c:extLst>
        </c:ser>
        <c:ser>
          <c:idx val="1"/>
          <c:order val="1"/>
          <c:tx>
            <c:strRef>
              <c:f>'Matrix analyst and Dimens'!$A$27</c:f>
              <c:strCache>
                <c:ptCount val="1"/>
                <c:pt idx="0">
                  <c:v>Pc2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3.1897926634768738E-2"/>
                  <c:y val="-9.103641456582632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4A-4A50-97DF-757CF656E4B7}"/>
                </c:ext>
              </c:extLst>
            </c:dLbl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'Matrix analyst and Dimens'!$B$27</c:f>
              <c:numCache>
                <c:formatCode>0.00%</c:formatCode>
                <c:ptCount val="1"/>
                <c:pt idx="0">
                  <c:v>0.32779999999999998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A-4A50-97DF-757CF656E4B7}"/>
            </c:ext>
          </c:extLst>
        </c:ser>
        <c:ser>
          <c:idx val="2"/>
          <c:order val="2"/>
          <c:tx>
            <c:strRef>
              <c:f>'Matrix analyst and Dimens'!$A$28</c:f>
              <c:strCache>
                <c:ptCount val="1"/>
                <c:pt idx="0">
                  <c:v>Pc3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0.13157894736842105"/>
                  <c:y val="-7.002801120448243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4A-4A50-97DF-757CF656E4B7}"/>
                </c:ext>
              </c:extLst>
            </c:dLbl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'Matrix analyst and Dimens'!$B$28</c:f>
              <c:numCache>
                <c:formatCode>0.00%</c:formatCode>
                <c:ptCount val="1"/>
                <c:pt idx="0">
                  <c:v>0.21529999999999999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A-4A50-97DF-757CF656E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84992127"/>
        <c:axId val="1784992607"/>
        <c:axId val="0"/>
      </c:bar3DChart>
      <c:catAx>
        <c:axId val="178499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92607"/>
        <c:crosses val="autoZero"/>
        <c:auto val="1"/>
        <c:lblAlgn val="ctr"/>
        <c:lblOffset val="100"/>
        <c:noMultiLvlLbl val="0"/>
      </c:catAx>
      <c:valAx>
        <c:axId val="178499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9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TV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advertising_Dataset!$B$2:$B$201</c:f>
              <c:numCache>
                <c:formatCode>General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8.6999999999999993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66.099999999999994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281.39999999999998</c:v>
                </c:pt>
                <c:pt idx="18">
                  <c:v>69.2</c:v>
                </c:pt>
                <c:pt idx="19">
                  <c:v>147.30000000000001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262.89999999999998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70.599999999999994</c:v>
                </c:pt>
                <c:pt idx="30">
                  <c:v>292.89999999999998</c:v>
                </c:pt>
                <c:pt idx="31">
                  <c:v>112.9</c:v>
                </c:pt>
                <c:pt idx="32">
                  <c:v>97.2</c:v>
                </c:pt>
                <c:pt idx="33">
                  <c:v>265.60000000000002</c:v>
                </c:pt>
                <c:pt idx="34">
                  <c:v>95.7</c:v>
                </c:pt>
                <c:pt idx="35">
                  <c:v>290.7</c:v>
                </c:pt>
                <c:pt idx="36">
                  <c:v>266.89999999999998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293.60000000000002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66.900000000000006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136.19999999999999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139.30000000000001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16.899999999999999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76.400000000000006</c:v>
                </c:pt>
                <c:pt idx="81">
                  <c:v>239.8</c:v>
                </c:pt>
                <c:pt idx="82">
                  <c:v>75.3</c:v>
                </c:pt>
                <c:pt idx="83">
                  <c:v>68.400000000000006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134.30000000000001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163.30000000000001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135.19999999999999</c:v>
                </c:pt>
                <c:pt idx="100">
                  <c:v>222.4</c:v>
                </c:pt>
                <c:pt idx="101">
                  <c:v>296.39999999999998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75.099999999999994</c:v>
                </c:pt>
                <c:pt idx="116">
                  <c:v>139.19999999999999</c:v>
                </c:pt>
                <c:pt idx="117">
                  <c:v>76.400000000000006</c:v>
                </c:pt>
                <c:pt idx="118">
                  <c:v>125.7</c:v>
                </c:pt>
                <c:pt idx="119">
                  <c:v>19.399999999999999</c:v>
                </c:pt>
                <c:pt idx="120">
                  <c:v>141.30000000000001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73.400000000000006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140.30000000000001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4.0999999999999996</c:v>
                </c:pt>
                <c:pt idx="156">
                  <c:v>93.9</c:v>
                </c:pt>
                <c:pt idx="157">
                  <c:v>149.80000000000001</c:v>
                </c:pt>
                <c:pt idx="158">
                  <c:v>11.7</c:v>
                </c:pt>
                <c:pt idx="159">
                  <c:v>131.69999999999999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17.899999999999999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19.600000000000001</c:v>
                </c:pt>
                <c:pt idx="173">
                  <c:v>168.4</c:v>
                </c:pt>
                <c:pt idx="174">
                  <c:v>222.4</c:v>
                </c:pt>
                <c:pt idx="175">
                  <c:v>276.89999999999998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287.60000000000002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149.69999999999999</c:v>
                </c:pt>
                <c:pt idx="195">
                  <c:v>38.200000000000003</c:v>
                </c:pt>
                <c:pt idx="196">
                  <c:v>94.2</c:v>
                </c:pt>
                <c:pt idx="197">
                  <c:v>177</c:v>
                </c:pt>
                <c:pt idx="198">
                  <c:v>283.60000000000002</c:v>
                </c:pt>
                <c:pt idx="199">
                  <c:v>232.1</c:v>
                </c:pt>
              </c:numCache>
            </c:numRef>
          </c:xVal>
          <c:yVal>
            <c:numRef>
              <c:f>'Predicted Sales'!$C$27:$C$226</c:f>
              <c:numCache>
                <c:formatCode>General</c:formatCode>
                <c:ptCount val="200"/>
                <c:pt idx="0">
                  <c:v>1.5768048484641</c:v>
                </c:pt>
                <c:pt idx="1">
                  <c:v>-1.9249892262679555</c:v>
                </c:pt>
                <c:pt idx="2">
                  <c:v>-2.9821223132397439</c:v>
                </c:pt>
                <c:pt idx="3">
                  <c:v>0.90900021247677287</c:v>
                </c:pt>
                <c:pt idx="4">
                  <c:v>-0.29638807009605195</c:v>
                </c:pt>
                <c:pt idx="5">
                  <c:v>-5.2490546095451149</c:v>
                </c:pt>
                <c:pt idx="6">
                  <c:v>7.2712393245751628E-2</c:v>
                </c:pt>
                <c:pt idx="7">
                  <c:v>1.0645018053588284</c:v>
                </c:pt>
                <c:pt idx="8">
                  <c:v>1.0616147963194456</c:v>
                </c:pt>
                <c:pt idx="9">
                  <c:v>-1.9749871744508187</c:v>
                </c:pt>
                <c:pt idx="10">
                  <c:v>1.5593029891010808</c:v>
                </c:pt>
                <c:pt idx="11">
                  <c:v>9.204169804710105E-2</c:v>
                </c:pt>
                <c:pt idx="12">
                  <c:v>-1.3573685461024212</c:v>
                </c:pt>
                <c:pt idx="13">
                  <c:v>0.85758148915353694</c:v>
                </c:pt>
                <c:pt idx="14">
                  <c:v>0.56010551466534508</c:v>
                </c:pt>
                <c:pt idx="15">
                  <c:v>1.5837662777330301</c:v>
                </c:pt>
                <c:pt idx="16">
                  <c:v>-0.29309321898152874</c:v>
                </c:pt>
                <c:pt idx="17">
                  <c:v>1.1671778040775287</c:v>
                </c:pt>
                <c:pt idx="18">
                  <c:v>1.3433566033362965</c:v>
                </c:pt>
                <c:pt idx="19">
                  <c:v>0.42254459752724394</c:v>
                </c:pt>
                <c:pt idx="20">
                  <c:v>-0.10745222747296168</c:v>
                </c:pt>
                <c:pt idx="21">
                  <c:v>-2.2668554943815789</c:v>
                </c:pt>
                <c:pt idx="22">
                  <c:v>-0.88056813235862741</c:v>
                </c:pt>
                <c:pt idx="23">
                  <c:v>-1.0660355503913301</c:v>
                </c:pt>
                <c:pt idx="24">
                  <c:v>1.5462352671429684</c:v>
                </c:pt>
                <c:pt idx="25">
                  <c:v>-3.6407815376697545</c:v>
                </c:pt>
                <c:pt idx="26">
                  <c:v>-3.9673566599773835E-4</c:v>
                </c:pt>
                <c:pt idx="27">
                  <c:v>-1.1740632690149422</c:v>
                </c:pt>
                <c:pt idx="28">
                  <c:v>-0.52988133674693216</c:v>
                </c:pt>
                <c:pt idx="29">
                  <c:v>1.3560582565852997</c:v>
                </c:pt>
                <c:pt idx="30">
                  <c:v>-0.25109927622408534</c:v>
                </c:pt>
                <c:pt idx="31">
                  <c:v>0.54953846716049704</c:v>
                </c:pt>
                <c:pt idx="32">
                  <c:v>1.9497022612704393</c:v>
                </c:pt>
                <c:pt idx="33">
                  <c:v>-1.4949247157281143</c:v>
                </c:pt>
                <c:pt idx="34">
                  <c:v>1.9069516869242493</c:v>
                </c:pt>
                <c:pt idx="35">
                  <c:v>-4.2435398692921673</c:v>
                </c:pt>
                <c:pt idx="36">
                  <c:v>1.9737483311155088</c:v>
                </c:pt>
                <c:pt idx="37">
                  <c:v>-0.90968441048577908</c:v>
                </c:pt>
                <c:pt idx="38">
                  <c:v>0.19650186069720732</c:v>
                </c:pt>
                <c:pt idx="39">
                  <c:v>1.0419575290620919</c:v>
                </c:pt>
                <c:pt idx="40">
                  <c:v>0.20855421194074353</c:v>
                </c:pt>
                <c:pt idx="41">
                  <c:v>-0.20079773249515753</c:v>
                </c:pt>
                <c:pt idx="42">
                  <c:v>-0.92593986018309948</c:v>
                </c:pt>
                <c:pt idx="43">
                  <c:v>-1.0849333741168419</c:v>
                </c:pt>
                <c:pt idx="44">
                  <c:v>-0.37873242541727592</c:v>
                </c:pt>
                <c:pt idx="45">
                  <c:v>-0.27246957466265798</c:v>
                </c:pt>
                <c:pt idx="46">
                  <c:v>1.7208831839211616</c:v>
                </c:pt>
                <c:pt idx="47">
                  <c:v>1.4630307561782701</c:v>
                </c:pt>
                <c:pt idx="48">
                  <c:v>-1.476771926112594</c:v>
                </c:pt>
                <c:pt idx="49">
                  <c:v>1.5294429556812243</c:v>
                </c:pt>
                <c:pt idx="50">
                  <c:v>-1.2510588351892835</c:v>
                </c:pt>
                <c:pt idx="51">
                  <c:v>1.3434279621674481</c:v>
                </c:pt>
                <c:pt idx="52">
                  <c:v>1.9316121895224114</c:v>
                </c:pt>
                <c:pt idx="53">
                  <c:v>1.2608777146524552</c:v>
                </c:pt>
                <c:pt idx="54">
                  <c:v>-0.19668858500241981</c:v>
                </c:pt>
                <c:pt idx="55">
                  <c:v>2.4129150132617028</c:v>
                </c:pt>
                <c:pt idx="56">
                  <c:v>-3.0164269042294958</c:v>
                </c:pt>
                <c:pt idx="57">
                  <c:v>0.41261725851198428</c:v>
                </c:pt>
                <c:pt idx="58">
                  <c:v>1.8995114060694753</c:v>
                </c:pt>
                <c:pt idx="59">
                  <c:v>0.24779311888917377</c:v>
                </c:pt>
                <c:pt idx="60">
                  <c:v>2.3484355357671962</c:v>
                </c:pt>
                <c:pt idx="61">
                  <c:v>1.3043447243958255</c:v>
                </c:pt>
                <c:pt idx="62">
                  <c:v>-1.1056759503744935</c:v>
                </c:pt>
                <c:pt idx="63">
                  <c:v>0.78134617535521222</c:v>
                </c:pt>
                <c:pt idx="64">
                  <c:v>1.0226774117374831</c:v>
                </c:pt>
                <c:pt idx="65">
                  <c:v>1.436452593703871</c:v>
                </c:pt>
                <c:pt idx="66">
                  <c:v>0.47946721562840722</c:v>
                </c:pt>
                <c:pt idx="67">
                  <c:v>1.3461461562741679</c:v>
                </c:pt>
                <c:pt idx="68">
                  <c:v>-9.825336622382963E-2</c:v>
                </c:pt>
                <c:pt idx="69">
                  <c:v>1.1826707096743334</c:v>
                </c:pt>
                <c:pt idx="70">
                  <c:v>0.51237889267097003</c:v>
                </c:pt>
                <c:pt idx="71">
                  <c:v>1.7657245454317465</c:v>
                </c:pt>
                <c:pt idx="72">
                  <c:v>-1.5624608579740933</c:v>
                </c:pt>
                <c:pt idx="73">
                  <c:v>1.0843109620284679</c:v>
                </c:pt>
                <c:pt idx="74">
                  <c:v>-0.34899625579869564</c:v>
                </c:pt>
                <c:pt idx="75">
                  <c:v>-3.127421727569109</c:v>
                </c:pt>
                <c:pt idx="76">
                  <c:v>2.4152836921202407</c:v>
                </c:pt>
                <c:pt idx="77">
                  <c:v>0.37968322508054975</c:v>
                </c:pt>
                <c:pt idx="78">
                  <c:v>-3.5109494060026103</c:v>
                </c:pt>
                <c:pt idx="79">
                  <c:v>1.3116001256603553</c:v>
                </c:pt>
                <c:pt idx="80">
                  <c:v>0.351950668261658</c:v>
                </c:pt>
                <c:pt idx="81">
                  <c:v>-2.3707787874854205</c:v>
                </c:pt>
                <c:pt idx="82">
                  <c:v>1.1202807686819582</c:v>
                </c:pt>
                <c:pt idx="83">
                  <c:v>-0.81235175802687998</c:v>
                </c:pt>
                <c:pt idx="84">
                  <c:v>0.91223452950124084</c:v>
                </c:pt>
                <c:pt idx="85">
                  <c:v>1.4721629197776309E-2</c:v>
                </c:pt>
                <c:pt idx="86">
                  <c:v>0.39755107889090091</c:v>
                </c:pt>
                <c:pt idx="87">
                  <c:v>0.4183729866577437</c:v>
                </c:pt>
                <c:pt idx="88">
                  <c:v>1.2005802790307918</c:v>
                </c:pt>
                <c:pt idx="89">
                  <c:v>-0.21089549313501266</c:v>
                </c:pt>
                <c:pt idx="90">
                  <c:v>1.1805275554684673</c:v>
                </c:pt>
                <c:pt idx="91">
                  <c:v>2.8001721097590755</c:v>
                </c:pt>
                <c:pt idx="92">
                  <c:v>0.24089738887874645</c:v>
                </c:pt>
                <c:pt idx="93">
                  <c:v>0.9715451746586119</c:v>
                </c:pt>
                <c:pt idx="94">
                  <c:v>1.0043026532370796</c:v>
                </c:pt>
                <c:pt idx="95">
                  <c:v>0.58532536486532294</c:v>
                </c:pt>
                <c:pt idx="96">
                  <c:v>-0.96397482964400361</c:v>
                </c:pt>
                <c:pt idx="97">
                  <c:v>0.14750276285342601</c:v>
                </c:pt>
                <c:pt idx="98">
                  <c:v>1.2722954602753767</c:v>
                </c:pt>
                <c:pt idx="99">
                  <c:v>0.26443330556267597</c:v>
                </c:pt>
                <c:pt idx="100">
                  <c:v>-2.193000303187727</c:v>
                </c:pt>
                <c:pt idx="101">
                  <c:v>0.56067878402025428</c:v>
                </c:pt>
                <c:pt idx="102">
                  <c:v>-2.8735210343824704</c:v>
                </c:pt>
                <c:pt idx="103">
                  <c:v>-8.0628124570974791E-2</c:v>
                </c:pt>
                <c:pt idx="104">
                  <c:v>0.37796192467611434</c:v>
                </c:pt>
                <c:pt idx="105">
                  <c:v>1.2738810974706318</c:v>
                </c:pt>
                <c:pt idx="106">
                  <c:v>1.0734143054412115</c:v>
                </c:pt>
                <c:pt idx="107">
                  <c:v>1.5782399633958502</c:v>
                </c:pt>
                <c:pt idx="108">
                  <c:v>1.7081266450570425</c:v>
                </c:pt>
                <c:pt idx="109">
                  <c:v>8.1651709592662769E-2</c:v>
                </c:pt>
                <c:pt idx="110">
                  <c:v>-1.3737365690592629</c:v>
                </c:pt>
                <c:pt idx="111">
                  <c:v>0.64531776133812002</c:v>
                </c:pt>
                <c:pt idx="112">
                  <c:v>0.19679024333962225</c:v>
                </c:pt>
                <c:pt idx="113">
                  <c:v>-0.5253207177896666</c:v>
                </c:pt>
                <c:pt idx="114">
                  <c:v>-0.69607041017202143</c:v>
                </c:pt>
                <c:pt idx="115">
                  <c:v>-0.30923823757387936</c:v>
                </c:pt>
                <c:pt idx="116">
                  <c:v>0.20905468772079061</c:v>
                </c:pt>
                <c:pt idx="117">
                  <c:v>2.815008148599448</c:v>
                </c:pt>
                <c:pt idx="118">
                  <c:v>0.34803585164737072</c:v>
                </c:pt>
                <c:pt idx="119">
                  <c:v>-0.22043575689631378</c:v>
                </c:pt>
                <c:pt idx="120">
                  <c:v>1.0885144747084823</c:v>
                </c:pt>
                <c:pt idx="121">
                  <c:v>-0.82762650272958993</c:v>
                </c:pt>
                <c:pt idx="122">
                  <c:v>-2.0548492648653411</c:v>
                </c:pt>
                <c:pt idx="123">
                  <c:v>0.1102852852940206</c:v>
                </c:pt>
                <c:pt idx="124">
                  <c:v>0.24587825792015039</c:v>
                </c:pt>
                <c:pt idx="125">
                  <c:v>1.4648933771815678</c:v>
                </c:pt>
                <c:pt idx="126">
                  <c:v>-3.9590396211247274</c:v>
                </c:pt>
                <c:pt idx="127">
                  <c:v>2.1837129535236324</c:v>
                </c:pt>
                <c:pt idx="128">
                  <c:v>2.4303168578435148</c:v>
                </c:pt>
                <c:pt idx="129">
                  <c:v>1.816287233333715</c:v>
                </c:pt>
                <c:pt idx="130">
                  <c:v>-8.8213911178814346</c:v>
                </c:pt>
                <c:pt idx="131">
                  <c:v>-2.9018085480873346</c:v>
                </c:pt>
                <c:pt idx="132">
                  <c:v>-2.7503469293701057</c:v>
                </c:pt>
                <c:pt idx="133">
                  <c:v>0.32590172941680962</c:v>
                </c:pt>
                <c:pt idx="134">
                  <c:v>-1.0171539211480187</c:v>
                </c:pt>
                <c:pt idx="135">
                  <c:v>-2.397227397594742</c:v>
                </c:pt>
                <c:pt idx="136">
                  <c:v>-1.9497686189392081</c:v>
                </c:pt>
                <c:pt idx="137">
                  <c:v>-6.1184956925693257E-2</c:v>
                </c:pt>
                <c:pt idx="138">
                  <c:v>-0.16800658418277692</c:v>
                </c:pt>
                <c:pt idx="139">
                  <c:v>1.0115488231383303</c:v>
                </c:pt>
                <c:pt idx="140">
                  <c:v>1.4019937071767234</c:v>
                </c:pt>
                <c:pt idx="141">
                  <c:v>0.80650758308640036</c:v>
                </c:pt>
                <c:pt idx="142">
                  <c:v>0.84056683253525577</c:v>
                </c:pt>
                <c:pt idx="143">
                  <c:v>1.6259642994451191</c:v>
                </c:pt>
                <c:pt idx="144">
                  <c:v>1.3051063714518811</c:v>
                </c:pt>
                <c:pt idx="145">
                  <c:v>0.56938145960103448</c:v>
                </c:pt>
                <c:pt idx="146">
                  <c:v>-2.1245144780759073</c:v>
                </c:pt>
                <c:pt idx="147">
                  <c:v>2.1351970927746002</c:v>
                </c:pt>
                <c:pt idx="148">
                  <c:v>-1.3596168157068895</c:v>
                </c:pt>
                <c:pt idx="149">
                  <c:v>0.27296998836086672</c:v>
                </c:pt>
                <c:pt idx="150">
                  <c:v>-2.2904713035774051</c:v>
                </c:pt>
                <c:pt idx="151">
                  <c:v>1.5849577614744899</c:v>
                </c:pt>
                <c:pt idx="152">
                  <c:v>0.2217692342367279</c:v>
                </c:pt>
                <c:pt idx="153">
                  <c:v>0.77394043218101416</c:v>
                </c:pt>
                <c:pt idx="154">
                  <c:v>7.8879791380421338E-2</c:v>
                </c:pt>
                <c:pt idx="155">
                  <c:v>-2.1131143626897879</c:v>
                </c:pt>
                <c:pt idx="156">
                  <c:v>-7.3774830610696895E-2</c:v>
                </c:pt>
                <c:pt idx="157">
                  <c:v>6.7098396058671739E-2</c:v>
                </c:pt>
                <c:pt idx="158">
                  <c:v>-3.068870447250295</c:v>
                </c:pt>
                <c:pt idx="159">
                  <c:v>0.49372272393502392</c:v>
                </c:pt>
                <c:pt idx="160">
                  <c:v>0.17357674467008088</c:v>
                </c:pt>
                <c:pt idx="161">
                  <c:v>-0.25051247833279788</c:v>
                </c:pt>
                <c:pt idx="162">
                  <c:v>-6.2552322514772385E-2</c:v>
                </c:pt>
                <c:pt idx="163">
                  <c:v>0.6366281457393228</c:v>
                </c:pt>
                <c:pt idx="164">
                  <c:v>0.81571520161214828</c:v>
                </c:pt>
                <c:pt idx="165">
                  <c:v>-2.3316215837303904</c:v>
                </c:pt>
                <c:pt idx="166">
                  <c:v>-2.8166578835573297</c:v>
                </c:pt>
                <c:pt idx="167">
                  <c:v>-1.1876658398529205</c:v>
                </c:pt>
                <c:pt idx="168">
                  <c:v>-9.2786877776827481E-2</c:v>
                </c:pt>
                <c:pt idx="169">
                  <c:v>-2.9758035306855781</c:v>
                </c:pt>
                <c:pt idx="170">
                  <c:v>0.99867897569426844</c:v>
                </c:pt>
                <c:pt idx="171">
                  <c:v>0.13612124677501924</c:v>
                </c:pt>
                <c:pt idx="172">
                  <c:v>-8.1529880050696946E-3</c:v>
                </c:pt>
                <c:pt idx="173">
                  <c:v>-0.2927502621561473</c:v>
                </c:pt>
                <c:pt idx="174">
                  <c:v>-2.2729738535637036</c:v>
                </c:pt>
                <c:pt idx="175">
                  <c:v>2.2049536305347885</c:v>
                </c:pt>
                <c:pt idx="176">
                  <c:v>0.20170094982137954</c:v>
                </c:pt>
                <c:pt idx="177">
                  <c:v>-0.47691949308465276</c:v>
                </c:pt>
                <c:pt idx="178">
                  <c:v>-4.2423132303456583</c:v>
                </c:pt>
                <c:pt idx="179">
                  <c:v>0.19648457695986998</c:v>
                </c:pt>
                <c:pt idx="180">
                  <c:v>-0.1108886709400938</c:v>
                </c:pt>
                <c:pt idx="181">
                  <c:v>-1.7511849508581356</c:v>
                </c:pt>
                <c:pt idx="182">
                  <c:v>2.1395859395745536</c:v>
                </c:pt>
                <c:pt idx="183">
                  <c:v>2.0645869291355083</c:v>
                </c:pt>
                <c:pt idx="184">
                  <c:v>-0.95839295138826586</c:v>
                </c:pt>
                <c:pt idx="185">
                  <c:v>1.7879012318697853</c:v>
                </c:pt>
                <c:pt idx="186">
                  <c:v>0.59209167621585479</c:v>
                </c:pt>
                <c:pt idx="187">
                  <c:v>0.20925530653104119</c:v>
                </c:pt>
                <c:pt idx="188">
                  <c:v>-2.7783055491852426</c:v>
                </c:pt>
                <c:pt idx="189">
                  <c:v>0.64694118375089893</c:v>
                </c:pt>
                <c:pt idx="190">
                  <c:v>-1.6871340174604796</c:v>
                </c:pt>
                <c:pt idx="191">
                  <c:v>1.4629451285787987</c:v>
                </c:pt>
                <c:pt idx="192">
                  <c:v>1.4319737178568914</c:v>
                </c:pt>
                <c:pt idx="193">
                  <c:v>1.1017731974205915</c:v>
                </c:pt>
                <c:pt idx="194">
                  <c:v>0.7934865178305941</c:v>
                </c:pt>
                <c:pt idx="195">
                  <c:v>2.2201227060343021</c:v>
                </c:pt>
                <c:pt idx="196">
                  <c:v>1.5181602064830955</c:v>
                </c:pt>
                <c:pt idx="197">
                  <c:v>-9.7350750184457269E-3</c:v>
                </c:pt>
                <c:pt idx="198">
                  <c:v>1.7286804907589648</c:v>
                </c:pt>
                <c:pt idx="199">
                  <c:v>-0.18407385716765745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2A-4039-916F-EFA9C20F8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793711"/>
        <c:axId val="1851778831"/>
      </c:scatterChart>
      <c:valAx>
        <c:axId val="185179371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TV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solidFill>
            <a:srgbClr val="FFFF00"/>
          </a:solidFill>
        </c:spPr>
        <c:crossAx val="1851778831"/>
        <c:crosses val="autoZero"/>
        <c:crossBetween val="midCat"/>
      </c:valAx>
      <c:valAx>
        <c:axId val="18517788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179371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TV Line Fit  Plot</a:t>
            </a:r>
          </a:p>
        </c:rich>
      </c:tx>
      <c:layout>
        <c:manualLayout>
          <c:xMode val="edge"/>
          <c:yMode val="edge"/>
          <c:x val="0.29942116983527406"/>
          <c:y val="3.23368656054403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622899301761729E-2"/>
          <c:y val="0.21392491634427402"/>
          <c:w val="0.869427881663701"/>
          <c:h val="0.5200424911506476"/>
        </c:manualLayout>
      </c:layout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advertising_Dataset!$B$2:$B$201</c:f>
              <c:numCache>
                <c:formatCode>General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8.6999999999999993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66.099999999999994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281.39999999999998</c:v>
                </c:pt>
                <c:pt idx="18">
                  <c:v>69.2</c:v>
                </c:pt>
                <c:pt idx="19">
                  <c:v>147.30000000000001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262.89999999999998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70.599999999999994</c:v>
                </c:pt>
                <c:pt idx="30">
                  <c:v>292.89999999999998</c:v>
                </c:pt>
                <c:pt idx="31">
                  <c:v>112.9</c:v>
                </c:pt>
                <c:pt idx="32">
                  <c:v>97.2</c:v>
                </c:pt>
                <c:pt idx="33">
                  <c:v>265.60000000000002</c:v>
                </c:pt>
                <c:pt idx="34">
                  <c:v>95.7</c:v>
                </c:pt>
                <c:pt idx="35">
                  <c:v>290.7</c:v>
                </c:pt>
                <c:pt idx="36">
                  <c:v>266.89999999999998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293.60000000000002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66.900000000000006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136.19999999999999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139.30000000000001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16.899999999999999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76.400000000000006</c:v>
                </c:pt>
                <c:pt idx="81">
                  <c:v>239.8</c:v>
                </c:pt>
                <c:pt idx="82">
                  <c:v>75.3</c:v>
                </c:pt>
                <c:pt idx="83">
                  <c:v>68.400000000000006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134.30000000000001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163.30000000000001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135.19999999999999</c:v>
                </c:pt>
                <c:pt idx="100">
                  <c:v>222.4</c:v>
                </c:pt>
                <c:pt idx="101">
                  <c:v>296.39999999999998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75.099999999999994</c:v>
                </c:pt>
                <c:pt idx="116">
                  <c:v>139.19999999999999</c:v>
                </c:pt>
                <c:pt idx="117">
                  <c:v>76.400000000000006</c:v>
                </c:pt>
                <c:pt idx="118">
                  <c:v>125.7</c:v>
                </c:pt>
                <c:pt idx="119">
                  <c:v>19.399999999999999</c:v>
                </c:pt>
                <c:pt idx="120">
                  <c:v>141.30000000000001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73.400000000000006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140.30000000000001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4.0999999999999996</c:v>
                </c:pt>
                <c:pt idx="156">
                  <c:v>93.9</c:v>
                </c:pt>
                <c:pt idx="157">
                  <c:v>149.80000000000001</c:v>
                </c:pt>
                <c:pt idx="158">
                  <c:v>11.7</c:v>
                </c:pt>
                <c:pt idx="159">
                  <c:v>131.69999999999999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17.899999999999999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19.600000000000001</c:v>
                </c:pt>
                <c:pt idx="173">
                  <c:v>168.4</c:v>
                </c:pt>
                <c:pt idx="174">
                  <c:v>222.4</c:v>
                </c:pt>
                <c:pt idx="175">
                  <c:v>276.89999999999998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287.60000000000002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149.69999999999999</c:v>
                </c:pt>
                <c:pt idx="195">
                  <c:v>38.200000000000003</c:v>
                </c:pt>
                <c:pt idx="196">
                  <c:v>94.2</c:v>
                </c:pt>
                <c:pt idx="197">
                  <c:v>177</c:v>
                </c:pt>
                <c:pt idx="198">
                  <c:v>283.60000000000002</c:v>
                </c:pt>
                <c:pt idx="199">
                  <c:v>232.1</c:v>
                </c:pt>
              </c:numCache>
            </c:numRef>
          </c:xVal>
          <c:yVal>
            <c:numRef>
              <c:f>advertising_Dataset!$E$2:$E$201</c:f>
              <c:numCache>
                <c:formatCode>General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2A-4A6E-A8A0-367A80D17D8F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advertising_Dataset!$B$2:$B$201</c:f>
              <c:numCache>
                <c:formatCode>General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8.6999999999999993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66.099999999999994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281.39999999999998</c:v>
                </c:pt>
                <c:pt idx="18">
                  <c:v>69.2</c:v>
                </c:pt>
                <c:pt idx="19">
                  <c:v>147.30000000000001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262.89999999999998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70.599999999999994</c:v>
                </c:pt>
                <c:pt idx="30">
                  <c:v>292.89999999999998</c:v>
                </c:pt>
                <c:pt idx="31">
                  <c:v>112.9</c:v>
                </c:pt>
                <c:pt idx="32">
                  <c:v>97.2</c:v>
                </c:pt>
                <c:pt idx="33">
                  <c:v>265.60000000000002</c:v>
                </c:pt>
                <c:pt idx="34">
                  <c:v>95.7</c:v>
                </c:pt>
                <c:pt idx="35">
                  <c:v>290.7</c:v>
                </c:pt>
                <c:pt idx="36">
                  <c:v>266.89999999999998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293.60000000000002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66.900000000000006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136.19999999999999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139.30000000000001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16.899999999999999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76.400000000000006</c:v>
                </c:pt>
                <c:pt idx="81">
                  <c:v>239.8</c:v>
                </c:pt>
                <c:pt idx="82">
                  <c:v>75.3</c:v>
                </c:pt>
                <c:pt idx="83">
                  <c:v>68.400000000000006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134.30000000000001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163.30000000000001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135.19999999999999</c:v>
                </c:pt>
                <c:pt idx="100">
                  <c:v>222.4</c:v>
                </c:pt>
                <c:pt idx="101">
                  <c:v>296.39999999999998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75.099999999999994</c:v>
                </c:pt>
                <c:pt idx="116">
                  <c:v>139.19999999999999</c:v>
                </c:pt>
                <c:pt idx="117">
                  <c:v>76.400000000000006</c:v>
                </c:pt>
                <c:pt idx="118">
                  <c:v>125.7</c:v>
                </c:pt>
                <c:pt idx="119">
                  <c:v>19.399999999999999</c:v>
                </c:pt>
                <c:pt idx="120">
                  <c:v>141.30000000000001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73.400000000000006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140.30000000000001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4.0999999999999996</c:v>
                </c:pt>
                <c:pt idx="156">
                  <c:v>93.9</c:v>
                </c:pt>
                <c:pt idx="157">
                  <c:v>149.80000000000001</c:v>
                </c:pt>
                <c:pt idx="158">
                  <c:v>11.7</c:v>
                </c:pt>
                <c:pt idx="159">
                  <c:v>131.69999999999999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17.899999999999999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19.600000000000001</c:v>
                </c:pt>
                <c:pt idx="173">
                  <c:v>168.4</c:v>
                </c:pt>
                <c:pt idx="174">
                  <c:v>222.4</c:v>
                </c:pt>
                <c:pt idx="175">
                  <c:v>276.89999999999998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287.60000000000002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149.69999999999999</c:v>
                </c:pt>
                <c:pt idx="195">
                  <c:v>38.200000000000003</c:v>
                </c:pt>
                <c:pt idx="196">
                  <c:v>94.2</c:v>
                </c:pt>
                <c:pt idx="197">
                  <c:v>177</c:v>
                </c:pt>
                <c:pt idx="198">
                  <c:v>283.60000000000002</c:v>
                </c:pt>
                <c:pt idx="199">
                  <c:v>232.1</c:v>
                </c:pt>
              </c:numCache>
            </c:numRef>
          </c:xVal>
          <c:yVal>
            <c:numRef>
              <c:f>'Predicted Sales'!$B$27:$B$226</c:f>
              <c:numCache>
                <c:formatCode>General</c:formatCode>
                <c:ptCount val="200"/>
                <c:pt idx="0">
                  <c:v>20.523195151535901</c:v>
                </c:pt>
                <c:pt idx="1">
                  <c:v>12.324989226267956</c:v>
                </c:pt>
                <c:pt idx="2">
                  <c:v>12.282122313239745</c:v>
                </c:pt>
                <c:pt idx="3">
                  <c:v>17.590999787523227</c:v>
                </c:pt>
                <c:pt idx="4">
                  <c:v>13.196388070096052</c:v>
                </c:pt>
                <c:pt idx="5">
                  <c:v>12.449054609545115</c:v>
                </c:pt>
                <c:pt idx="6">
                  <c:v>11.727287606754249</c:v>
                </c:pt>
                <c:pt idx="7">
                  <c:v>12.135498194641171</c:v>
                </c:pt>
                <c:pt idx="8">
                  <c:v>3.7383852036805543</c:v>
                </c:pt>
                <c:pt idx="9">
                  <c:v>12.574987174450818</c:v>
                </c:pt>
                <c:pt idx="10">
                  <c:v>7.0406970108989189</c:v>
                </c:pt>
                <c:pt idx="11">
                  <c:v>17.307958301952898</c:v>
                </c:pt>
                <c:pt idx="12">
                  <c:v>10.55736854610242</c:v>
                </c:pt>
                <c:pt idx="13">
                  <c:v>8.8424185108464624</c:v>
                </c:pt>
                <c:pt idx="14">
                  <c:v>18.439894485334655</c:v>
                </c:pt>
                <c:pt idx="15">
                  <c:v>20.816233722266968</c:v>
                </c:pt>
                <c:pt idx="16">
                  <c:v>12.793093218981529</c:v>
                </c:pt>
                <c:pt idx="17">
                  <c:v>23.23282219592247</c:v>
                </c:pt>
                <c:pt idx="18">
                  <c:v>9.9566433966637042</c:v>
                </c:pt>
                <c:pt idx="19">
                  <c:v>14.177455402472756</c:v>
                </c:pt>
                <c:pt idx="20">
                  <c:v>18.107452227472962</c:v>
                </c:pt>
                <c:pt idx="21">
                  <c:v>14.766855494381579</c:v>
                </c:pt>
                <c:pt idx="22">
                  <c:v>6.4805681323586271</c:v>
                </c:pt>
                <c:pt idx="23">
                  <c:v>16.56603555039133</c:v>
                </c:pt>
                <c:pt idx="24">
                  <c:v>8.1537647328570309</c:v>
                </c:pt>
                <c:pt idx="25">
                  <c:v>15.640781537669755</c:v>
                </c:pt>
                <c:pt idx="26">
                  <c:v>15.000396735665998</c:v>
                </c:pt>
                <c:pt idx="27">
                  <c:v>17.074063269014943</c:v>
                </c:pt>
                <c:pt idx="28">
                  <c:v>19.429881336746931</c:v>
                </c:pt>
                <c:pt idx="29">
                  <c:v>9.1439417434147003</c:v>
                </c:pt>
                <c:pt idx="30">
                  <c:v>21.651099276224084</c:v>
                </c:pt>
                <c:pt idx="31">
                  <c:v>11.350461532839503</c:v>
                </c:pt>
                <c:pt idx="32">
                  <c:v>7.6502977387295603</c:v>
                </c:pt>
                <c:pt idx="33">
                  <c:v>18.894924715728113</c:v>
                </c:pt>
                <c:pt idx="34">
                  <c:v>7.5930483130757507</c:v>
                </c:pt>
                <c:pt idx="35">
                  <c:v>17.043539869292168</c:v>
                </c:pt>
                <c:pt idx="36">
                  <c:v>23.42625166888449</c:v>
                </c:pt>
                <c:pt idx="37">
                  <c:v>15.609684410485778</c:v>
                </c:pt>
                <c:pt idx="38">
                  <c:v>9.9034981393027923</c:v>
                </c:pt>
                <c:pt idx="39">
                  <c:v>20.458042470937908</c:v>
                </c:pt>
                <c:pt idx="40">
                  <c:v>16.391445788059258</c:v>
                </c:pt>
                <c:pt idx="41">
                  <c:v>17.300797732495159</c:v>
                </c:pt>
                <c:pt idx="42">
                  <c:v>21.625939860183099</c:v>
                </c:pt>
                <c:pt idx="43">
                  <c:v>13.984933374116842</c:v>
                </c:pt>
                <c:pt idx="44">
                  <c:v>8.8787324254172759</c:v>
                </c:pt>
                <c:pt idx="45">
                  <c:v>15.172469574662658</c:v>
                </c:pt>
                <c:pt idx="46">
                  <c:v>8.8791168160788381</c:v>
                </c:pt>
                <c:pt idx="47">
                  <c:v>21.736969243821729</c:v>
                </c:pt>
                <c:pt idx="48">
                  <c:v>16.276771926112595</c:v>
                </c:pt>
                <c:pt idx="49">
                  <c:v>8.1705570443187749</c:v>
                </c:pt>
                <c:pt idx="50">
                  <c:v>12.651058835189284</c:v>
                </c:pt>
                <c:pt idx="51">
                  <c:v>9.3565720378325512</c:v>
                </c:pt>
                <c:pt idx="52">
                  <c:v>20.66838781047759</c:v>
                </c:pt>
                <c:pt idx="53">
                  <c:v>19.939122285347544</c:v>
                </c:pt>
                <c:pt idx="54">
                  <c:v>20.396688585002419</c:v>
                </c:pt>
                <c:pt idx="55">
                  <c:v>21.287084986738297</c:v>
                </c:pt>
                <c:pt idx="56">
                  <c:v>8.5164269042294958</c:v>
                </c:pt>
                <c:pt idx="57">
                  <c:v>12.787382741488015</c:v>
                </c:pt>
                <c:pt idx="58">
                  <c:v>21.900488593930525</c:v>
                </c:pt>
                <c:pt idx="59">
                  <c:v>18.152206881110825</c:v>
                </c:pt>
                <c:pt idx="60">
                  <c:v>5.7515644642328034</c:v>
                </c:pt>
                <c:pt idx="61">
                  <c:v>22.895655275604174</c:v>
                </c:pt>
                <c:pt idx="62">
                  <c:v>16.805675950374493</c:v>
                </c:pt>
                <c:pt idx="63">
                  <c:v>13.218653824644788</c:v>
                </c:pt>
                <c:pt idx="64">
                  <c:v>16.977322588262517</c:v>
                </c:pt>
                <c:pt idx="65">
                  <c:v>7.8635474062961297</c:v>
                </c:pt>
                <c:pt idx="66">
                  <c:v>9.0205327843715928</c:v>
                </c:pt>
                <c:pt idx="67">
                  <c:v>12.053853843725832</c:v>
                </c:pt>
                <c:pt idx="68">
                  <c:v>18.998253366223828</c:v>
                </c:pt>
                <c:pt idx="69">
                  <c:v>21.117329290325667</c:v>
                </c:pt>
                <c:pt idx="70">
                  <c:v>17.787621107329031</c:v>
                </c:pt>
                <c:pt idx="71">
                  <c:v>10.634275454568254</c:v>
                </c:pt>
                <c:pt idx="72">
                  <c:v>10.362460857974094</c:v>
                </c:pt>
                <c:pt idx="73">
                  <c:v>9.9156890379715321</c:v>
                </c:pt>
                <c:pt idx="74">
                  <c:v>17.348996255798696</c:v>
                </c:pt>
                <c:pt idx="75">
                  <c:v>11.827421727569108</c:v>
                </c:pt>
                <c:pt idx="76">
                  <c:v>4.4847163078797596</c:v>
                </c:pt>
                <c:pt idx="77">
                  <c:v>13.82031677491945</c:v>
                </c:pt>
                <c:pt idx="78">
                  <c:v>8.8109494060026101</c:v>
                </c:pt>
                <c:pt idx="79">
                  <c:v>9.6883998743396447</c:v>
                </c:pt>
                <c:pt idx="80">
                  <c:v>11.448049331738343</c:v>
                </c:pt>
                <c:pt idx="81">
                  <c:v>14.670778787485421</c:v>
                </c:pt>
                <c:pt idx="82">
                  <c:v>10.179719231318042</c:v>
                </c:pt>
                <c:pt idx="83">
                  <c:v>14.41235175802688</c:v>
                </c:pt>
                <c:pt idx="84">
                  <c:v>20.787765470498758</c:v>
                </c:pt>
                <c:pt idx="85">
                  <c:v>15.185278370802223</c:v>
                </c:pt>
                <c:pt idx="86">
                  <c:v>11.602448921109099</c:v>
                </c:pt>
                <c:pt idx="87">
                  <c:v>15.581627013342256</c:v>
                </c:pt>
                <c:pt idx="88">
                  <c:v>11.699419720969209</c:v>
                </c:pt>
                <c:pt idx="89">
                  <c:v>16.910895493135012</c:v>
                </c:pt>
                <c:pt idx="90">
                  <c:v>10.019472444531532</c:v>
                </c:pt>
                <c:pt idx="91">
                  <c:v>4.4998278902409243</c:v>
                </c:pt>
                <c:pt idx="92">
                  <c:v>19.159102611121252</c:v>
                </c:pt>
                <c:pt idx="93">
                  <c:v>21.228454825341387</c:v>
                </c:pt>
                <c:pt idx="94">
                  <c:v>10.49569734676292</c:v>
                </c:pt>
                <c:pt idx="95">
                  <c:v>16.314674635134676</c:v>
                </c:pt>
                <c:pt idx="96">
                  <c:v>12.663974829644003</c:v>
                </c:pt>
                <c:pt idx="97">
                  <c:v>15.352497237146574</c:v>
                </c:pt>
                <c:pt idx="98">
                  <c:v>24.127704539724622</c:v>
                </c:pt>
                <c:pt idx="99">
                  <c:v>16.935566694437323</c:v>
                </c:pt>
                <c:pt idx="100">
                  <c:v>13.893000303187726</c:v>
                </c:pt>
                <c:pt idx="101">
                  <c:v>23.239321215979746</c:v>
                </c:pt>
                <c:pt idx="102">
                  <c:v>17.673521034382471</c:v>
                </c:pt>
                <c:pt idx="103">
                  <c:v>14.780628124570974</c:v>
                </c:pt>
                <c:pt idx="104">
                  <c:v>20.322038075323885</c:v>
                </c:pt>
                <c:pt idx="105">
                  <c:v>17.926118902529367</c:v>
                </c:pt>
                <c:pt idx="106">
                  <c:v>6.1265856945587887</c:v>
                </c:pt>
                <c:pt idx="107">
                  <c:v>7.1217600366041491</c:v>
                </c:pt>
                <c:pt idx="108">
                  <c:v>3.5918733549429573</c:v>
                </c:pt>
                <c:pt idx="109">
                  <c:v>19.718348290407338</c:v>
                </c:pt>
                <c:pt idx="110">
                  <c:v>14.773736569059263</c:v>
                </c:pt>
                <c:pt idx="111">
                  <c:v>21.154682238661881</c:v>
                </c:pt>
                <c:pt idx="112">
                  <c:v>13.903209756660377</c:v>
                </c:pt>
                <c:pt idx="113">
                  <c:v>16.425320717789667</c:v>
                </c:pt>
                <c:pt idx="114">
                  <c:v>15.296070410172021</c:v>
                </c:pt>
                <c:pt idx="115">
                  <c:v>12.909238237573879</c:v>
                </c:pt>
                <c:pt idx="116">
                  <c:v>11.990945312279209</c:v>
                </c:pt>
                <c:pt idx="117">
                  <c:v>6.5849918514005523</c:v>
                </c:pt>
                <c:pt idx="118">
                  <c:v>15.55196414835263</c:v>
                </c:pt>
                <c:pt idx="119">
                  <c:v>6.8204357568963134</c:v>
                </c:pt>
                <c:pt idx="120">
                  <c:v>14.411485525291518</c:v>
                </c:pt>
                <c:pt idx="121">
                  <c:v>7.8276265027295899</c:v>
                </c:pt>
                <c:pt idx="122">
                  <c:v>13.654849264865341</c:v>
                </c:pt>
                <c:pt idx="123">
                  <c:v>15.089714714705979</c:v>
                </c:pt>
                <c:pt idx="124">
                  <c:v>19.454121742079849</c:v>
                </c:pt>
                <c:pt idx="125">
                  <c:v>9.1351066228184319</c:v>
                </c:pt>
                <c:pt idx="126">
                  <c:v>10.559039621124727</c:v>
                </c:pt>
                <c:pt idx="127">
                  <c:v>6.6162870464763683</c:v>
                </c:pt>
                <c:pt idx="128">
                  <c:v>22.269683142156484</c:v>
                </c:pt>
                <c:pt idx="129">
                  <c:v>7.8837127666662843</c:v>
                </c:pt>
                <c:pt idx="130">
                  <c:v>10.421391117881434</c:v>
                </c:pt>
                <c:pt idx="131">
                  <c:v>15.601808548087334</c:v>
                </c:pt>
                <c:pt idx="132">
                  <c:v>8.4503469293701059</c:v>
                </c:pt>
                <c:pt idx="133">
                  <c:v>19.274098270583192</c:v>
                </c:pt>
                <c:pt idx="134">
                  <c:v>11.817153921148019</c:v>
                </c:pt>
                <c:pt idx="135">
                  <c:v>13.997227397594742</c:v>
                </c:pt>
                <c:pt idx="136">
                  <c:v>11.449768618939208</c:v>
                </c:pt>
                <c:pt idx="137">
                  <c:v>20.861184956925694</c:v>
                </c:pt>
                <c:pt idx="138">
                  <c:v>9.7680065841827766</c:v>
                </c:pt>
                <c:pt idx="139">
                  <c:v>19.688451176861669</c:v>
                </c:pt>
                <c:pt idx="140">
                  <c:v>9.4980062928232769</c:v>
                </c:pt>
                <c:pt idx="141">
                  <c:v>18.393492416913599</c:v>
                </c:pt>
                <c:pt idx="142">
                  <c:v>19.259433167464746</c:v>
                </c:pt>
                <c:pt idx="143">
                  <c:v>8.7740357005548812</c:v>
                </c:pt>
                <c:pt idx="144">
                  <c:v>10.094893628548119</c:v>
                </c:pt>
                <c:pt idx="145">
                  <c:v>9.7306185403989662</c:v>
                </c:pt>
                <c:pt idx="146">
                  <c:v>15.324514478075907</c:v>
                </c:pt>
                <c:pt idx="147">
                  <c:v>23.264802907225398</c:v>
                </c:pt>
                <c:pt idx="148">
                  <c:v>12.25961681570689</c:v>
                </c:pt>
                <c:pt idx="149">
                  <c:v>9.8270300116391329</c:v>
                </c:pt>
                <c:pt idx="150">
                  <c:v>18.390471303577407</c:v>
                </c:pt>
                <c:pt idx="151">
                  <c:v>10.01504223852551</c:v>
                </c:pt>
                <c:pt idx="152">
                  <c:v>16.378230765763274</c:v>
                </c:pt>
                <c:pt idx="153">
                  <c:v>18.226059567818986</c:v>
                </c:pt>
                <c:pt idx="154">
                  <c:v>15.521120208619578</c:v>
                </c:pt>
                <c:pt idx="155">
                  <c:v>5.3131143626897881</c:v>
                </c:pt>
                <c:pt idx="156">
                  <c:v>15.373774830610698</c:v>
                </c:pt>
                <c:pt idx="157">
                  <c:v>10.032901603941328</c:v>
                </c:pt>
                <c:pt idx="158">
                  <c:v>10.368870447250295</c:v>
                </c:pt>
                <c:pt idx="159">
                  <c:v>12.406277276064976</c:v>
                </c:pt>
                <c:pt idx="160">
                  <c:v>14.226423255329919</c:v>
                </c:pt>
                <c:pt idx="161">
                  <c:v>13.550512478332799</c:v>
                </c:pt>
                <c:pt idx="162">
                  <c:v>14.962552322514773</c:v>
                </c:pt>
                <c:pt idx="163">
                  <c:v>17.363371854260677</c:v>
                </c:pt>
                <c:pt idx="164">
                  <c:v>11.084284798387852</c:v>
                </c:pt>
                <c:pt idx="165">
                  <c:v>14.231621583730391</c:v>
                </c:pt>
                <c:pt idx="166">
                  <c:v>10.81665788355733</c:v>
                </c:pt>
                <c:pt idx="167">
                  <c:v>13.38766583985292</c:v>
                </c:pt>
                <c:pt idx="168">
                  <c:v>17.192786877776829</c:v>
                </c:pt>
                <c:pt idx="169">
                  <c:v>17.975803530685578</c:v>
                </c:pt>
                <c:pt idx="170">
                  <c:v>7.4013210243057319</c:v>
                </c:pt>
                <c:pt idx="171">
                  <c:v>14.363878753224981</c:v>
                </c:pt>
                <c:pt idx="172">
                  <c:v>7.6081529880050693</c:v>
                </c:pt>
                <c:pt idx="173">
                  <c:v>11.992750262156147</c:v>
                </c:pt>
                <c:pt idx="174">
                  <c:v>13.772973853563704</c:v>
                </c:pt>
                <c:pt idx="175">
                  <c:v>24.795046369465211</c:v>
                </c:pt>
                <c:pt idx="176">
                  <c:v>19.99829905017862</c:v>
                </c:pt>
                <c:pt idx="177">
                  <c:v>12.176919493084652</c:v>
                </c:pt>
                <c:pt idx="178">
                  <c:v>16.042313230345659</c:v>
                </c:pt>
                <c:pt idx="179">
                  <c:v>12.40351542304013</c:v>
                </c:pt>
                <c:pt idx="180">
                  <c:v>10.610888670940094</c:v>
                </c:pt>
                <c:pt idx="181">
                  <c:v>13.951184950858135</c:v>
                </c:pt>
                <c:pt idx="182">
                  <c:v>6.5604140604254457</c:v>
                </c:pt>
                <c:pt idx="183">
                  <c:v>24.135413070864491</c:v>
                </c:pt>
                <c:pt idx="184">
                  <c:v>18.558392951388267</c:v>
                </c:pt>
                <c:pt idx="185">
                  <c:v>20.812098768130216</c:v>
                </c:pt>
                <c:pt idx="186">
                  <c:v>9.7079083237841459</c:v>
                </c:pt>
                <c:pt idx="187">
                  <c:v>17.09074469346896</c:v>
                </c:pt>
                <c:pt idx="188">
                  <c:v>18.678305549185243</c:v>
                </c:pt>
                <c:pt idx="189">
                  <c:v>6.0530588162491012</c:v>
                </c:pt>
                <c:pt idx="190">
                  <c:v>12.48713401746048</c:v>
                </c:pt>
                <c:pt idx="191">
                  <c:v>8.4370548714212017</c:v>
                </c:pt>
                <c:pt idx="192">
                  <c:v>4.4680262821431089</c:v>
                </c:pt>
                <c:pt idx="193">
                  <c:v>18.49822680257941</c:v>
                </c:pt>
                <c:pt idx="194">
                  <c:v>16.506513482169407</c:v>
                </c:pt>
                <c:pt idx="195">
                  <c:v>5.3798772939656976</c:v>
                </c:pt>
                <c:pt idx="196">
                  <c:v>8.1818397935169038</c:v>
                </c:pt>
                <c:pt idx="197">
                  <c:v>12.809735075018446</c:v>
                </c:pt>
                <c:pt idx="198">
                  <c:v>23.771319509241035</c:v>
                </c:pt>
                <c:pt idx="199">
                  <c:v>13.584073857167658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2A-4A6E-A8A0-367A80D17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123487"/>
        <c:axId val="1835119167"/>
      </c:scatterChart>
      <c:valAx>
        <c:axId val="1835123487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35119167"/>
        <c:crosses val="autoZero"/>
        <c:crossBetween val="midCat"/>
      </c:valAx>
      <c:valAx>
        <c:axId val="18351191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35123487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1.7766574053840314E-2"/>
          <c:y val="0.85071418641209984"/>
          <c:w val="0.96116270720819141"/>
          <c:h val="0.11694894798245967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Radio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advertising_Dataset!$C$2:$C$201</c:f>
              <c:numCache>
                <c:formatCode>General</c:formatCode>
                <c:ptCount val="200"/>
                <c:pt idx="0">
                  <c:v>37.799999999999997</c:v>
                </c:pt>
                <c:pt idx="1">
                  <c:v>39.299999999999997</c:v>
                </c:pt>
                <c:pt idx="2">
                  <c:v>45.9</c:v>
                </c:pt>
                <c:pt idx="3">
                  <c:v>41.3</c:v>
                </c:pt>
                <c:pt idx="4">
                  <c:v>10.8</c:v>
                </c:pt>
                <c:pt idx="5">
                  <c:v>48.9</c:v>
                </c:pt>
                <c:pt idx="6">
                  <c:v>32.799999999999997</c:v>
                </c:pt>
                <c:pt idx="7">
                  <c:v>19.600000000000001</c:v>
                </c:pt>
                <c:pt idx="8">
                  <c:v>2.1</c:v>
                </c:pt>
                <c:pt idx="9">
                  <c:v>2.6</c:v>
                </c:pt>
                <c:pt idx="10">
                  <c:v>5.8</c:v>
                </c:pt>
                <c:pt idx="11">
                  <c:v>24</c:v>
                </c:pt>
                <c:pt idx="12">
                  <c:v>35.1</c:v>
                </c:pt>
                <c:pt idx="13">
                  <c:v>7.6</c:v>
                </c:pt>
                <c:pt idx="14">
                  <c:v>32.9</c:v>
                </c:pt>
                <c:pt idx="15">
                  <c:v>47.7</c:v>
                </c:pt>
                <c:pt idx="16">
                  <c:v>36.6</c:v>
                </c:pt>
                <c:pt idx="17">
                  <c:v>39.6</c:v>
                </c:pt>
                <c:pt idx="18">
                  <c:v>20.5</c:v>
                </c:pt>
                <c:pt idx="19">
                  <c:v>23.9</c:v>
                </c:pt>
                <c:pt idx="20">
                  <c:v>27.7</c:v>
                </c:pt>
                <c:pt idx="21">
                  <c:v>5.0999999999999996</c:v>
                </c:pt>
                <c:pt idx="22">
                  <c:v>15.9</c:v>
                </c:pt>
                <c:pt idx="23">
                  <c:v>16.899999999999999</c:v>
                </c:pt>
                <c:pt idx="24">
                  <c:v>12.6</c:v>
                </c:pt>
                <c:pt idx="25">
                  <c:v>3.5</c:v>
                </c:pt>
                <c:pt idx="26">
                  <c:v>29.3</c:v>
                </c:pt>
                <c:pt idx="27">
                  <c:v>16.7</c:v>
                </c:pt>
                <c:pt idx="28">
                  <c:v>27.1</c:v>
                </c:pt>
                <c:pt idx="29">
                  <c:v>16</c:v>
                </c:pt>
                <c:pt idx="30">
                  <c:v>28.3</c:v>
                </c:pt>
                <c:pt idx="31">
                  <c:v>17.399999999999999</c:v>
                </c:pt>
                <c:pt idx="32">
                  <c:v>1.5</c:v>
                </c:pt>
                <c:pt idx="33">
                  <c:v>20</c:v>
                </c:pt>
                <c:pt idx="34">
                  <c:v>1.4</c:v>
                </c:pt>
                <c:pt idx="35">
                  <c:v>4.0999999999999996</c:v>
                </c:pt>
                <c:pt idx="36">
                  <c:v>43.8</c:v>
                </c:pt>
                <c:pt idx="37">
                  <c:v>49.4</c:v>
                </c:pt>
                <c:pt idx="38">
                  <c:v>26.7</c:v>
                </c:pt>
                <c:pt idx="39">
                  <c:v>37.700000000000003</c:v>
                </c:pt>
                <c:pt idx="40">
                  <c:v>22.3</c:v>
                </c:pt>
                <c:pt idx="41">
                  <c:v>33.4</c:v>
                </c:pt>
                <c:pt idx="42">
                  <c:v>27.7</c:v>
                </c:pt>
                <c:pt idx="43">
                  <c:v>8.4</c:v>
                </c:pt>
                <c:pt idx="44">
                  <c:v>25.7</c:v>
                </c:pt>
                <c:pt idx="45">
                  <c:v>22.5</c:v>
                </c:pt>
                <c:pt idx="46">
                  <c:v>9.9</c:v>
                </c:pt>
                <c:pt idx="47">
                  <c:v>41.5</c:v>
                </c:pt>
                <c:pt idx="48">
                  <c:v>15.8</c:v>
                </c:pt>
                <c:pt idx="49">
                  <c:v>11.7</c:v>
                </c:pt>
                <c:pt idx="50">
                  <c:v>3.1</c:v>
                </c:pt>
                <c:pt idx="51">
                  <c:v>9.6</c:v>
                </c:pt>
                <c:pt idx="52">
                  <c:v>41.7</c:v>
                </c:pt>
                <c:pt idx="53">
                  <c:v>46.2</c:v>
                </c:pt>
                <c:pt idx="54">
                  <c:v>28.8</c:v>
                </c:pt>
                <c:pt idx="55">
                  <c:v>49.4</c:v>
                </c:pt>
                <c:pt idx="56">
                  <c:v>28.1</c:v>
                </c:pt>
                <c:pt idx="57">
                  <c:v>19.2</c:v>
                </c:pt>
                <c:pt idx="58">
                  <c:v>49.6</c:v>
                </c:pt>
                <c:pt idx="59">
                  <c:v>29.5</c:v>
                </c:pt>
                <c:pt idx="60">
                  <c:v>2</c:v>
                </c:pt>
                <c:pt idx="61">
                  <c:v>42.7</c:v>
                </c:pt>
                <c:pt idx="62">
                  <c:v>15.5</c:v>
                </c:pt>
                <c:pt idx="63">
                  <c:v>29.6</c:v>
                </c:pt>
                <c:pt idx="64">
                  <c:v>42.8</c:v>
                </c:pt>
                <c:pt idx="65">
                  <c:v>9.3000000000000007</c:v>
                </c:pt>
                <c:pt idx="66">
                  <c:v>24.6</c:v>
                </c:pt>
                <c:pt idx="67">
                  <c:v>14.5</c:v>
                </c:pt>
                <c:pt idx="68">
                  <c:v>27.5</c:v>
                </c:pt>
                <c:pt idx="69">
                  <c:v>43.9</c:v>
                </c:pt>
                <c:pt idx="70">
                  <c:v>30.6</c:v>
                </c:pt>
                <c:pt idx="71">
                  <c:v>14.3</c:v>
                </c:pt>
                <c:pt idx="72">
                  <c:v>33</c:v>
                </c:pt>
                <c:pt idx="73">
                  <c:v>5.7</c:v>
                </c:pt>
                <c:pt idx="74">
                  <c:v>24.6</c:v>
                </c:pt>
                <c:pt idx="75">
                  <c:v>43.7</c:v>
                </c:pt>
                <c:pt idx="76">
                  <c:v>1.6</c:v>
                </c:pt>
                <c:pt idx="77">
                  <c:v>28.5</c:v>
                </c:pt>
                <c:pt idx="78">
                  <c:v>29.9</c:v>
                </c:pt>
                <c:pt idx="79">
                  <c:v>7.7</c:v>
                </c:pt>
                <c:pt idx="80">
                  <c:v>26.7</c:v>
                </c:pt>
                <c:pt idx="81">
                  <c:v>4.0999999999999996</c:v>
                </c:pt>
                <c:pt idx="82">
                  <c:v>20.3</c:v>
                </c:pt>
                <c:pt idx="83">
                  <c:v>44.5</c:v>
                </c:pt>
                <c:pt idx="84">
                  <c:v>43</c:v>
                </c:pt>
                <c:pt idx="85">
                  <c:v>18.399999999999999</c:v>
                </c:pt>
                <c:pt idx="86">
                  <c:v>27.5</c:v>
                </c:pt>
                <c:pt idx="87">
                  <c:v>40.6</c:v>
                </c:pt>
                <c:pt idx="88">
                  <c:v>25.5</c:v>
                </c:pt>
                <c:pt idx="89">
                  <c:v>47.8</c:v>
                </c:pt>
                <c:pt idx="90">
                  <c:v>4.9000000000000004</c:v>
                </c:pt>
                <c:pt idx="91">
                  <c:v>1.5</c:v>
                </c:pt>
                <c:pt idx="92">
                  <c:v>33.5</c:v>
                </c:pt>
                <c:pt idx="93">
                  <c:v>36.5</c:v>
                </c:pt>
                <c:pt idx="94">
                  <c:v>14</c:v>
                </c:pt>
                <c:pt idx="95">
                  <c:v>31.6</c:v>
                </c:pt>
                <c:pt idx="96">
                  <c:v>3.5</c:v>
                </c:pt>
                <c:pt idx="97">
                  <c:v>21</c:v>
                </c:pt>
                <c:pt idx="98">
                  <c:v>42.3</c:v>
                </c:pt>
                <c:pt idx="99">
                  <c:v>41.7</c:v>
                </c:pt>
                <c:pt idx="100">
                  <c:v>4.3</c:v>
                </c:pt>
                <c:pt idx="101">
                  <c:v>36.299999999999997</c:v>
                </c:pt>
                <c:pt idx="102">
                  <c:v>10.1</c:v>
                </c:pt>
                <c:pt idx="103">
                  <c:v>17.2</c:v>
                </c:pt>
                <c:pt idx="104">
                  <c:v>34.299999999999997</c:v>
                </c:pt>
                <c:pt idx="105">
                  <c:v>46.4</c:v>
                </c:pt>
                <c:pt idx="106">
                  <c:v>11</c:v>
                </c:pt>
                <c:pt idx="107">
                  <c:v>0.3</c:v>
                </c:pt>
                <c:pt idx="108">
                  <c:v>0.4</c:v>
                </c:pt>
                <c:pt idx="109">
                  <c:v>26.9</c:v>
                </c:pt>
                <c:pt idx="110">
                  <c:v>8.1999999999999993</c:v>
                </c:pt>
                <c:pt idx="111">
                  <c:v>38</c:v>
                </c:pt>
                <c:pt idx="112">
                  <c:v>15.4</c:v>
                </c:pt>
                <c:pt idx="113">
                  <c:v>20.6</c:v>
                </c:pt>
                <c:pt idx="114">
                  <c:v>46.8</c:v>
                </c:pt>
                <c:pt idx="115">
                  <c:v>35</c:v>
                </c:pt>
                <c:pt idx="116">
                  <c:v>14.3</c:v>
                </c:pt>
                <c:pt idx="117">
                  <c:v>0.8</c:v>
                </c:pt>
                <c:pt idx="118">
                  <c:v>36.9</c:v>
                </c:pt>
                <c:pt idx="119">
                  <c:v>16</c:v>
                </c:pt>
                <c:pt idx="120">
                  <c:v>26.8</c:v>
                </c:pt>
                <c:pt idx="121">
                  <c:v>21.7</c:v>
                </c:pt>
                <c:pt idx="122">
                  <c:v>2.4</c:v>
                </c:pt>
                <c:pt idx="123">
                  <c:v>34.6</c:v>
                </c:pt>
                <c:pt idx="124">
                  <c:v>32.299999999999997</c:v>
                </c:pt>
                <c:pt idx="125">
                  <c:v>11.8</c:v>
                </c:pt>
                <c:pt idx="126">
                  <c:v>38.9</c:v>
                </c:pt>
                <c:pt idx="127">
                  <c:v>0</c:v>
                </c:pt>
                <c:pt idx="128">
                  <c:v>49</c:v>
                </c:pt>
                <c:pt idx="129">
                  <c:v>12</c:v>
                </c:pt>
                <c:pt idx="130">
                  <c:v>39.6</c:v>
                </c:pt>
                <c:pt idx="131">
                  <c:v>2.9</c:v>
                </c:pt>
                <c:pt idx="132">
                  <c:v>27.2</c:v>
                </c:pt>
                <c:pt idx="133">
                  <c:v>33.5</c:v>
                </c:pt>
                <c:pt idx="134">
                  <c:v>38.6</c:v>
                </c:pt>
                <c:pt idx="135">
                  <c:v>47</c:v>
                </c:pt>
                <c:pt idx="136">
                  <c:v>39</c:v>
                </c:pt>
                <c:pt idx="137">
                  <c:v>28.9</c:v>
                </c:pt>
                <c:pt idx="138">
                  <c:v>25.9</c:v>
                </c:pt>
                <c:pt idx="139">
                  <c:v>43.9</c:v>
                </c:pt>
                <c:pt idx="140">
                  <c:v>17</c:v>
                </c:pt>
                <c:pt idx="141">
                  <c:v>35.4</c:v>
                </c:pt>
                <c:pt idx="142">
                  <c:v>33.200000000000003</c:v>
                </c:pt>
                <c:pt idx="143">
                  <c:v>5.7</c:v>
                </c:pt>
                <c:pt idx="144">
                  <c:v>14.8</c:v>
                </c:pt>
                <c:pt idx="145">
                  <c:v>1.9</c:v>
                </c:pt>
                <c:pt idx="146">
                  <c:v>7.3</c:v>
                </c:pt>
                <c:pt idx="147">
                  <c:v>49</c:v>
                </c:pt>
                <c:pt idx="148">
                  <c:v>40.299999999999997</c:v>
                </c:pt>
                <c:pt idx="149">
                  <c:v>25.8</c:v>
                </c:pt>
                <c:pt idx="150">
                  <c:v>13.9</c:v>
                </c:pt>
                <c:pt idx="151">
                  <c:v>8.4</c:v>
                </c:pt>
                <c:pt idx="152">
                  <c:v>23.3</c:v>
                </c:pt>
                <c:pt idx="153">
                  <c:v>39.700000000000003</c:v>
                </c:pt>
                <c:pt idx="154">
                  <c:v>21.1</c:v>
                </c:pt>
                <c:pt idx="155">
                  <c:v>11.6</c:v>
                </c:pt>
                <c:pt idx="156">
                  <c:v>43.5</c:v>
                </c:pt>
                <c:pt idx="157">
                  <c:v>1.3</c:v>
                </c:pt>
                <c:pt idx="158">
                  <c:v>36.9</c:v>
                </c:pt>
                <c:pt idx="159">
                  <c:v>18.399999999999999</c:v>
                </c:pt>
                <c:pt idx="160">
                  <c:v>18.100000000000001</c:v>
                </c:pt>
                <c:pt idx="161">
                  <c:v>35.799999999999997</c:v>
                </c:pt>
                <c:pt idx="162">
                  <c:v>18.100000000000001</c:v>
                </c:pt>
                <c:pt idx="163">
                  <c:v>36.799999999999997</c:v>
                </c:pt>
                <c:pt idx="164">
                  <c:v>14.7</c:v>
                </c:pt>
                <c:pt idx="165">
                  <c:v>3.4</c:v>
                </c:pt>
                <c:pt idx="166">
                  <c:v>37.6</c:v>
                </c:pt>
                <c:pt idx="167">
                  <c:v>5.2</c:v>
                </c:pt>
                <c:pt idx="168">
                  <c:v>23.6</c:v>
                </c:pt>
                <c:pt idx="169">
                  <c:v>10.6</c:v>
                </c:pt>
                <c:pt idx="170">
                  <c:v>11.6</c:v>
                </c:pt>
                <c:pt idx="171">
                  <c:v>20.9</c:v>
                </c:pt>
                <c:pt idx="172">
                  <c:v>20.100000000000001</c:v>
                </c:pt>
                <c:pt idx="173">
                  <c:v>7.1</c:v>
                </c:pt>
                <c:pt idx="174">
                  <c:v>3.4</c:v>
                </c:pt>
                <c:pt idx="175">
                  <c:v>48.9</c:v>
                </c:pt>
                <c:pt idx="176">
                  <c:v>30.2</c:v>
                </c:pt>
                <c:pt idx="177">
                  <c:v>7.8</c:v>
                </c:pt>
                <c:pt idx="178">
                  <c:v>2.2999999999999998</c:v>
                </c:pt>
                <c:pt idx="179">
                  <c:v>10</c:v>
                </c:pt>
                <c:pt idx="180">
                  <c:v>2.6</c:v>
                </c:pt>
                <c:pt idx="181">
                  <c:v>5.4</c:v>
                </c:pt>
                <c:pt idx="182">
                  <c:v>5.7</c:v>
                </c:pt>
                <c:pt idx="183">
                  <c:v>43</c:v>
                </c:pt>
                <c:pt idx="184">
                  <c:v>21.3</c:v>
                </c:pt>
                <c:pt idx="185">
                  <c:v>45.1</c:v>
                </c:pt>
                <c:pt idx="186">
                  <c:v>2.1</c:v>
                </c:pt>
                <c:pt idx="187">
                  <c:v>28.7</c:v>
                </c:pt>
                <c:pt idx="188">
                  <c:v>13.9</c:v>
                </c:pt>
                <c:pt idx="189">
                  <c:v>12.1</c:v>
                </c:pt>
                <c:pt idx="190">
                  <c:v>41.1</c:v>
                </c:pt>
                <c:pt idx="191">
                  <c:v>10.8</c:v>
                </c:pt>
                <c:pt idx="192">
                  <c:v>4.0999999999999996</c:v>
                </c:pt>
                <c:pt idx="193">
                  <c:v>42</c:v>
                </c:pt>
                <c:pt idx="194">
                  <c:v>35.6</c:v>
                </c:pt>
                <c:pt idx="195">
                  <c:v>3.7</c:v>
                </c:pt>
                <c:pt idx="196">
                  <c:v>4.9000000000000004</c:v>
                </c:pt>
                <c:pt idx="197">
                  <c:v>9.3000000000000007</c:v>
                </c:pt>
                <c:pt idx="198">
                  <c:v>42</c:v>
                </c:pt>
                <c:pt idx="199">
                  <c:v>0</c:v>
                </c:pt>
              </c:numCache>
            </c:numRef>
          </c:xVal>
          <c:yVal>
            <c:numRef>
              <c:f>'Predicted Sales'!$C$27:$C$226</c:f>
              <c:numCache>
                <c:formatCode>General</c:formatCode>
                <c:ptCount val="200"/>
                <c:pt idx="0">
                  <c:v>1.5768048484641</c:v>
                </c:pt>
                <c:pt idx="1">
                  <c:v>-1.9249892262679555</c:v>
                </c:pt>
                <c:pt idx="2">
                  <c:v>-2.9821223132397439</c:v>
                </c:pt>
                <c:pt idx="3">
                  <c:v>0.90900021247677287</c:v>
                </c:pt>
                <c:pt idx="4">
                  <c:v>-0.29638807009605195</c:v>
                </c:pt>
                <c:pt idx="5">
                  <c:v>-5.2490546095451149</c:v>
                </c:pt>
                <c:pt idx="6">
                  <c:v>7.2712393245751628E-2</c:v>
                </c:pt>
                <c:pt idx="7">
                  <c:v>1.0645018053588284</c:v>
                </c:pt>
                <c:pt idx="8">
                  <c:v>1.0616147963194456</c:v>
                </c:pt>
                <c:pt idx="9">
                  <c:v>-1.9749871744508187</c:v>
                </c:pt>
                <c:pt idx="10">
                  <c:v>1.5593029891010808</c:v>
                </c:pt>
                <c:pt idx="11">
                  <c:v>9.204169804710105E-2</c:v>
                </c:pt>
                <c:pt idx="12">
                  <c:v>-1.3573685461024212</c:v>
                </c:pt>
                <c:pt idx="13">
                  <c:v>0.85758148915353694</c:v>
                </c:pt>
                <c:pt idx="14">
                  <c:v>0.56010551466534508</c:v>
                </c:pt>
                <c:pt idx="15">
                  <c:v>1.5837662777330301</c:v>
                </c:pt>
                <c:pt idx="16">
                  <c:v>-0.29309321898152874</c:v>
                </c:pt>
                <c:pt idx="17">
                  <c:v>1.1671778040775287</c:v>
                </c:pt>
                <c:pt idx="18">
                  <c:v>1.3433566033362965</c:v>
                </c:pt>
                <c:pt idx="19">
                  <c:v>0.42254459752724394</c:v>
                </c:pt>
                <c:pt idx="20">
                  <c:v>-0.10745222747296168</c:v>
                </c:pt>
                <c:pt idx="21">
                  <c:v>-2.2668554943815789</c:v>
                </c:pt>
                <c:pt idx="22">
                  <c:v>-0.88056813235862741</c:v>
                </c:pt>
                <c:pt idx="23">
                  <c:v>-1.0660355503913301</c:v>
                </c:pt>
                <c:pt idx="24">
                  <c:v>1.5462352671429684</c:v>
                </c:pt>
                <c:pt idx="25">
                  <c:v>-3.6407815376697545</c:v>
                </c:pt>
                <c:pt idx="26">
                  <c:v>-3.9673566599773835E-4</c:v>
                </c:pt>
                <c:pt idx="27">
                  <c:v>-1.1740632690149422</c:v>
                </c:pt>
                <c:pt idx="28">
                  <c:v>-0.52988133674693216</c:v>
                </c:pt>
                <c:pt idx="29">
                  <c:v>1.3560582565852997</c:v>
                </c:pt>
                <c:pt idx="30">
                  <c:v>-0.25109927622408534</c:v>
                </c:pt>
                <c:pt idx="31">
                  <c:v>0.54953846716049704</c:v>
                </c:pt>
                <c:pt idx="32">
                  <c:v>1.9497022612704393</c:v>
                </c:pt>
                <c:pt idx="33">
                  <c:v>-1.4949247157281143</c:v>
                </c:pt>
                <c:pt idx="34">
                  <c:v>1.9069516869242493</c:v>
                </c:pt>
                <c:pt idx="35">
                  <c:v>-4.2435398692921673</c:v>
                </c:pt>
                <c:pt idx="36">
                  <c:v>1.9737483311155088</c:v>
                </c:pt>
                <c:pt idx="37">
                  <c:v>-0.90968441048577908</c:v>
                </c:pt>
                <c:pt idx="38">
                  <c:v>0.19650186069720732</c:v>
                </c:pt>
                <c:pt idx="39">
                  <c:v>1.0419575290620919</c:v>
                </c:pt>
                <c:pt idx="40">
                  <c:v>0.20855421194074353</c:v>
                </c:pt>
                <c:pt idx="41">
                  <c:v>-0.20079773249515753</c:v>
                </c:pt>
                <c:pt idx="42">
                  <c:v>-0.92593986018309948</c:v>
                </c:pt>
                <c:pt idx="43">
                  <c:v>-1.0849333741168419</c:v>
                </c:pt>
                <c:pt idx="44">
                  <c:v>-0.37873242541727592</c:v>
                </c:pt>
                <c:pt idx="45">
                  <c:v>-0.27246957466265798</c:v>
                </c:pt>
                <c:pt idx="46">
                  <c:v>1.7208831839211616</c:v>
                </c:pt>
                <c:pt idx="47">
                  <c:v>1.4630307561782701</c:v>
                </c:pt>
                <c:pt idx="48">
                  <c:v>-1.476771926112594</c:v>
                </c:pt>
                <c:pt idx="49">
                  <c:v>1.5294429556812243</c:v>
                </c:pt>
                <c:pt idx="50">
                  <c:v>-1.2510588351892835</c:v>
                </c:pt>
                <c:pt idx="51">
                  <c:v>1.3434279621674481</c:v>
                </c:pt>
                <c:pt idx="52">
                  <c:v>1.9316121895224114</c:v>
                </c:pt>
                <c:pt idx="53">
                  <c:v>1.2608777146524552</c:v>
                </c:pt>
                <c:pt idx="54">
                  <c:v>-0.19668858500241981</c:v>
                </c:pt>
                <c:pt idx="55">
                  <c:v>2.4129150132617028</c:v>
                </c:pt>
                <c:pt idx="56">
                  <c:v>-3.0164269042294958</c:v>
                </c:pt>
                <c:pt idx="57">
                  <c:v>0.41261725851198428</c:v>
                </c:pt>
                <c:pt idx="58">
                  <c:v>1.8995114060694753</c:v>
                </c:pt>
                <c:pt idx="59">
                  <c:v>0.24779311888917377</c:v>
                </c:pt>
                <c:pt idx="60">
                  <c:v>2.3484355357671962</c:v>
                </c:pt>
                <c:pt idx="61">
                  <c:v>1.3043447243958255</c:v>
                </c:pt>
                <c:pt idx="62">
                  <c:v>-1.1056759503744935</c:v>
                </c:pt>
                <c:pt idx="63">
                  <c:v>0.78134617535521222</c:v>
                </c:pt>
                <c:pt idx="64">
                  <c:v>1.0226774117374831</c:v>
                </c:pt>
                <c:pt idx="65">
                  <c:v>1.436452593703871</c:v>
                </c:pt>
                <c:pt idx="66">
                  <c:v>0.47946721562840722</c:v>
                </c:pt>
                <c:pt idx="67">
                  <c:v>1.3461461562741679</c:v>
                </c:pt>
                <c:pt idx="68">
                  <c:v>-9.825336622382963E-2</c:v>
                </c:pt>
                <c:pt idx="69">
                  <c:v>1.1826707096743334</c:v>
                </c:pt>
                <c:pt idx="70">
                  <c:v>0.51237889267097003</c:v>
                </c:pt>
                <c:pt idx="71">
                  <c:v>1.7657245454317465</c:v>
                </c:pt>
                <c:pt idx="72">
                  <c:v>-1.5624608579740933</c:v>
                </c:pt>
                <c:pt idx="73">
                  <c:v>1.0843109620284679</c:v>
                </c:pt>
                <c:pt idx="74">
                  <c:v>-0.34899625579869564</c:v>
                </c:pt>
                <c:pt idx="75">
                  <c:v>-3.127421727569109</c:v>
                </c:pt>
                <c:pt idx="76">
                  <c:v>2.4152836921202407</c:v>
                </c:pt>
                <c:pt idx="77">
                  <c:v>0.37968322508054975</c:v>
                </c:pt>
                <c:pt idx="78">
                  <c:v>-3.5109494060026103</c:v>
                </c:pt>
                <c:pt idx="79">
                  <c:v>1.3116001256603553</c:v>
                </c:pt>
                <c:pt idx="80">
                  <c:v>0.351950668261658</c:v>
                </c:pt>
                <c:pt idx="81">
                  <c:v>-2.3707787874854205</c:v>
                </c:pt>
                <c:pt idx="82">
                  <c:v>1.1202807686819582</c:v>
                </c:pt>
                <c:pt idx="83">
                  <c:v>-0.81235175802687998</c:v>
                </c:pt>
                <c:pt idx="84">
                  <c:v>0.91223452950124084</c:v>
                </c:pt>
                <c:pt idx="85">
                  <c:v>1.4721629197776309E-2</c:v>
                </c:pt>
                <c:pt idx="86">
                  <c:v>0.39755107889090091</c:v>
                </c:pt>
                <c:pt idx="87">
                  <c:v>0.4183729866577437</c:v>
                </c:pt>
                <c:pt idx="88">
                  <c:v>1.2005802790307918</c:v>
                </c:pt>
                <c:pt idx="89">
                  <c:v>-0.21089549313501266</c:v>
                </c:pt>
                <c:pt idx="90">
                  <c:v>1.1805275554684673</c:v>
                </c:pt>
                <c:pt idx="91">
                  <c:v>2.8001721097590755</c:v>
                </c:pt>
                <c:pt idx="92">
                  <c:v>0.24089738887874645</c:v>
                </c:pt>
                <c:pt idx="93">
                  <c:v>0.9715451746586119</c:v>
                </c:pt>
                <c:pt idx="94">
                  <c:v>1.0043026532370796</c:v>
                </c:pt>
                <c:pt idx="95">
                  <c:v>0.58532536486532294</c:v>
                </c:pt>
                <c:pt idx="96">
                  <c:v>-0.96397482964400361</c:v>
                </c:pt>
                <c:pt idx="97">
                  <c:v>0.14750276285342601</c:v>
                </c:pt>
                <c:pt idx="98">
                  <c:v>1.2722954602753767</c:v>
                </c:pt>
                <c:pt idx="99">
                  <c:v>0.26443330556267597</c:v>
                </c:pt>
                <c:pt idx="100">
                  <c:v>-2.193000303187727</c:v>
                </c:pt>
                <c:pt idx="101">
                  <c:v>0.56067878402025428</c:v>
                </c:pt>
                <c:pt idx="102">
                  <c:v>-2.8735210343824704</c:v>
                </c:pt>
                <c:pt idx="103">
                  <c:v>-8.0628124570974791E-2</c:v>
                </c:pt>
                <c:pt idx="104">
                  <c:v>0.37796192467611434</c:v>
                </c:pt>
                <c:pt idx="105">
                  <c:v>1.2738810974706318</c:v>
                </c:pt>
                <c:pt idx="106">
                  <c:v>1.0734143054412115</c:v>
                </c:pt>
                <c:pt idx="107">
                  <c:v>1.5782399633958502</c:v>
                </c:pt>
                <c:pt idx="108">
                  <c:v>1.7081266450570425</c:v>
                </c:pt>
                <c:pt idx="109">
                  <c:v>8.1651709592662769E-2</c:v>
                </c:pt>
                <c:pt idx="110">
                  <c:v>-1.3737365690592629</c:v>
                </c:pt>
                <c:pt idx="111">
                  <c:v>0.64531776133812002</c:v>
                </c:pt>
                <c:pt idx="112">
                  <c:v>0.19679024333962225</c:v>
                </c:pt>
                <c:pt idx="113">
                  <c:v>-0.5253207177896666</c:v>
                </c:pt>
                <c:pt idx="114">
                  <c:v>-0.69607041017202143</c:v>
                </c:pt>
                <c:pt idx="115">
                  <c:v>-0.30923823757387936</c:v>
                </c:pt>
                <c:pt idx="116">
                  <c:v>0.20905468772079061</c:v>
                </c:pt>
                <c:pt idx="117">
                  <c:v>2.815008148599448</c:v>
                </c:pt>
                <c:pt idx="118">
                  <c:v>0.34803585164737072</c:v>
                </c:pt>
                <c:pt idx="119">
                  <c:v>-0.22043575689631378</c:v>
                </c:pt>
                <c:pt idx="120">
                  <c:v>1.0885144747084823</c:v>
                </c:pt>
                <c:pt idx="121">
                  <c:v>-0.82762650272958993</c:v>
                </c:pt>
                <c:pt idx="122">
                  <c:v>-2.0548492648653411</c:v>
                </c:pt>
                <c:pt idx="123">
                  <c:v>0.1102852852940206</c:v>
                </c:pt>
                <c:pt idx="124">
                  <c:v>0.24587825792015039</c:v>
                </c:pt>
                <c:pt idx="125">
                  <c:v>1.4648933771815678</c:v>
                </c:pt>
                <c:pt idx="126">
                  <c:v>-3.9590396211247274</c:v>
                </c:pt>
                <c:pt idx="127">
                  <c:v>2.1837129535236324</c:v>
                </c:pt>
                <c:pt idx="128">
                  <c:v>2.4303168578435148</c:v>
                </c:pt>
                <c:pt idx="129">
                  <c:v>1.816287233333715</c:v>
                </c:pt>
                <c:pt idx="130">
                  <c:v>-8.8213911178814346</c:v>
                </c:pt>
                <c:pt idx="131">
                  <c:v>-2.9018085480873346</c:v>
                </c:pt>
                <c:pt idx="132">
                  <c:v>-2.7503469293701057</c:v>
                </c:pt>
                <c:pt idx="133">
                  <c:v>0.32590172941680962</c:v>
                </c:pt>
                <c:pt idx="134">
                  <c:v>-1.0171539211480187</c:v>
                </c:pt>
                <c:pt idx="135">
                  <c:v>-2.397227397594742</c:v>
                </c:pt>
                <c:pt idx="136">
                  <c:v>-1.9497686189392081</c:v>
                </c:pt>
                <c:pt idx="137">
                  <c:v>-6.1184956925693257E-2</c:v>
                </c:pt>
                <c:pt idx="138">
                  <c:v>-0.16800658418277692</c:v>
                </c:pt>
                <c:pt idx="139">
                  <c:v>1.0115488231383303</c:v>
                </c:pt>
                <c:pt idx="140">
                  <c:v>1.4019937071767234</c:v>
                </c:pt>
                <c:pt idx="141">
                  <c:v>0.80650758308640036</c:v>
                </c:pt>
                <c:pt idx="142">
                  <c:v>0.84056683253525577</c:v>
                </c:pt>
                <c:pt idx="143">
                  <c:v>1.6259642994451191</c:v>
                </c:pt>
                <c:pt idx="144">
                  <c:v>1.3051063714518811</c:v>
                </c:pt>
                <c:pt idx="145">
                  <c:v>0.56938145960103448</c:v>
                </c:pt>
                <c:pt idx="146">
                  <c:v>-2.1245144780759073</c:v>
                </c:pt>
                <c:pt idx="147">
                  <c:v>2.1351970927746002</c:v>
                </c:pt>
                <c:pt idx="148">
                  <c:v>-1.3596168157068895</c:v>
                </c:pt>
                <c:pt idx="149">
                  <c:v>0.27296998836086672</c:v>
                </c:pt>
                <c:pt idx="150">
                  <c:v>-2.2904713035774051</c:v>
                </c:pt>
                <c:pt idx="151">
                  <c:v>1.5849577614744899</c:v>
                </c:pt>
                <c:pt idx="152">
                  <c:v>0.2217692342367279</c:v>
                </c:pt>
                <c:pt idx="153">
                  <c:v>0.77394043218101416</c:v>
                </c:pt>
                <c:pt idx="154">
                  <c:v>7.8879791380421338E-2</c:v>
                </c:pt>
                <c:pt idx="155">
                  <c:v>-2.1131143626897879</c:v>
                </c:pt>
                <c:pt idx="156">
                  <c:v>-7.3774830610696895E-2</c:v>
                </c:pt>
                <c:pt idx="157">
                  <c:v>6.7098396058671739E-2</c:v>
                </c:pt>
                <c:pt idx="158">
                  <c:v>-3.068870447250295</c:v>
                </c:pt>
                <c:pt idx="159">
                  <c:v>0.49372272393502392</c:v>
                </c:pt>
                <c:pt idx="160">
                  <c:v>0.17357674467008088</c:v>
                </c:pt>
                <c:pt idx="161">
                  <c:v>-0.25051247833279788</c:v>
                </c:pt>
                <c:pt idx="162">
                  <c:v>-6.2552322514772385E-2</c:v>
                </c:pt>
                <c:pt idx="163">
                  <c:v>0.6366281457393228</c:v>
                </c:pt>
                <c:pt idx="164">
                  <c:v>0.81571520161214828</c:v>
                </c:pt>
                <c:pt idx="165">
                  <c:v>-2.3316215837303904</c:v>
                </c:pt>
                <c:pt idx="166">
                  <c:v>-2.8166578835573297</c:v>
                </c:pt>
                <c:pt idx="167">
                  <c:v>-1.1876658398529205</c:v>
                </c:pt>
                <c:pt idx="168">
                  <c:v>-9.2786877776827481E-2</c:v>
                </c:pt>
                <c:pt idx="169">
                  <c:v>-2.9758035306855781</c:v>
                </c:pt>
                <c:pt idx="170">
                  <c:v>0.99867897569426844</c:v>
                </c:pt>
                <c:pt idx="171">
                  <c:v>0.13612124677501924</c:v>
                </c:pt>
                <c:pt idx="172">
                  <c:v>-8.1529880050696946E-3</c:v>
                </c:pt>
                <c:pt idx="173">
                  <c:v>-0.2927502621561473</c:v>
                </c:pt>
                <c:pt idx="174">
                  <c:v>-2.2729738535637036</c:v>
                </c:pt>
                <c:pt idx="175">
                  <c:v>2.2049536305347885</c:v>
                </c:pt>
                <c:pt idx="176">
                  <c:v>0.20170094982137954</c:v>
                </c:pt>
                <c:pt idx="177">
                  <c:v>-0.47691949308465276</c:v>
                </c:pt>
                <c:pt idx="178">
                  <c:v>-4.2423132303456583</c:v>
                </c:pt>
                <c:pt idx="179">
                  <c:v>0.19648457695986998</c:v>
                </c:pt>
                <c:pt idx="180">
                  <c:v>-0.1108886709400938</c:v>
                </c:pt>
                <c:pt idx="181">
                  <c:v>-1.7511849508581356</c:v>
                </c:pt>
                <c:pt idx="182">
                  <c:v>2.1395859395745536</c:v>
                </c:pt>
                <c:pt idx="183">
                  <c:v>2.0645869291355083</c:v>
                </c:pt>
                <c:pt idx="184">
                  <c:v>-0.95839295138826586</c:v>
                </c:pt>
                <c:pt idx="185">
                  <c:v>1.7879012318697853</c:v>
                </c:pt>
                <c:pt idx="186">
                  <c:v>0.59209167621585479</c:v>
                </c:pt>
                <c:pt idx="187">
                  <c:v>0.20925530653104119</c:v>
                </c:pt>
                <c:pt idx="188">
                  <c:v>-2.7783055491852426</c:v>
                </c:pt>
                <c:pt idx="189">
                  <c:v>0.64694118375089893</c:v>
                </c:pt>
                <c:pt idx="190">
                  <c:v>-1.6871340174604796</c:v>
                </c:pt>
                <c:pt idx="191">
                  <c:v>1.4629451285787987</c:v>
                </c:pt>
                <c:pt idx="192">
                  <c:v>1.4319737178568914</c:v>
                </c:pt>
                <c:pt idx="193">
                  <c:v>1.1017731974205915</c:v>
                </c:pt>
                <c:pt idx="194">
                  <c:v>0.7934865178305941</c:v>
                </c:pt>
                <c:pt idx="195">
                  <c:v>2.2201227060343021</c:v>
                </c:pt>
                <c:pt idx="196">
                  <c:v>1.5181602064830955</c:v>
                </c:pt>
                <c:pt idx="197">
                  <c:v>-9.7350750184457269E-3</c:v>
                </c:pt>
                <c:pt idx="198">
                  <c:v>1.7286804907589648</c:v>
                </c:pt>
                <c:pt idx="199">
                  <c:v>-0.18407385716765745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54-4D8B-AEDE-0E8098631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798991"/>
        <c:axId val="1851782671"/>
      </c:scatterChart>
      <c:valAx>
        <c:axId val="185179899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solidFill>
            <a:srgbClr val="FFFF00"/>
          </a:solidFill>
        </c:spPr>
        <c:crossAx val="1851782671"/>
        <c:crosses val="autoZero"/>
        <c:crossBetween val="midCat"/>
      </c:valAx>
      <c:valAx>
        <c:axId val="18517826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17989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Radio Line Fit  Plot</a:t>
            </a:r>
          </a:p>
        </c:rich>
      </c:tx>
      <c:layout>
        <c:manualLayout>
          <c:xMode val="edge"/>
          <c:yMode val="edge"/>
          <c:x val="0.24911586214469567"/>
          <c:y val="2.601520763003506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02266894770182"/>
          <c:y val="0.22813749549342857"/>
          <c:w val="0.85710551280815073"/>
          <c:h val="0.42766492002884204"/>
        </c:manualLayout>
      </c:layout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advertising_Dataset!$C$2:$C$201</c:f>
              <c:numCache>
                <c:formatCode>General</c:formatCode>
                <c:ptCount val="200"/>
                <c:pt idx="0">
                  <c:v>37.799999999999997</c:v>
                </c:pt>
                <c:pt idx="1">
                  <c:v>39.299999999999997</c:v>
                </c:pt>
                <c:pt idx="2">
                  <c:v>45.9</c:v>
                </c:pt>
                <c:pt idx="3">
                  <c:v>41.3</c:v>
                </c:pt>
                <c:pt idx="4">
                  <c:v>10.8</c:v>
                </c:pt>
                <c:pt idx="5">
                  <c:v>48.9</c:v>
                </c:pt>
                <c:pt idx="6">
                  <c:v>32.799999999999997</c:v>
                </c:pt>
                <c:pt idx="7">
                  <c:v>19.600000000000001</c:v>
                </c:pt>
                <c:pt idx="8">
                  <c:v>2.1</c:v>
                </c:pt>
                <c:pt idx="9">
                  <c:v>2.6</c:v>
                </c:pt>
                <c:pt idx="10">
                  <c:v>5.8</c:v>
                </c:pt>
                <c:pt idx="11">
                  <c:v>24</c:v>
                </c:pt>
                <c:pt idx="12">
                  <c:v>35.1</c:v>
                </c:pt>
                <c:pt idx="13">
                  <c:v>7.6</c:v>
                </c:pt>
                <c:pt idx="14">
                  <c:v>32.9</c:v>
                </c:pt>
                <c:pt idx="15">
                  <c:v>47.7</c:v>
                </c:pt>
                <c:pt idx="16">
                  <c:v>36.6</c:v>
                </c:pt>
                <c:pt idx="17">
                  <c:v>39.6</c:v>
                </c:pt>
                <c:pt idx="18">
                  <c:v>20.5</c:v>
                </c:pt>
                <c:pt idx="19">
                  <c:v>23.9</c:v>
                </c:pt>
                <c:pt idx="20">
                  <c:v>27.7</c:v>
                </c:pt>
                <c:pt idx="21">
                  <c:v>5.0999999999999996</c:v>
                </c:pt>
                <c:pt idx="22">
                  <c:v>15.9</c:v>
                </c:pt>
                <c:pt idx="23">
                  <c:v>16.899999999999999</c:v>
                </c:pt>
                <c:pt idx="24">
                  <c:v>12.6</c:v>
                </c:pt>
                <c:pt idx="25">
                  <c:v>3.5</c:v>
                </c:pt>
                <c:pt idx="26">
                  <c:v>29.3</c:v>
                </c:pt>
                <c:pt idx="27">
                  <c:v>16.7</c:v>
                </c:pt>
                <c:pt idx="28">
                  <c:v>27.1</c:v>
                </c:pt>
                <c:pt idx="29">
                  <c:v>16</c:v>
                </c:pt>
                <c:pt idx="30">
                  <c:v>28.3</c:v>
                </c:pt>
                <c:pt idx="31">
                  <c:v>17.399999999999999</c:v>
                </c:pt>
                <c:pt idx="32">
                  <c:v>1.5</c:v>
                </c:pt>
                <c:pt idx="33">
                  <c:v>20</c:v>
                </c:pt>
                <c:pt idx="34">
                  <c:v>1.4</c:v>
                </c:pt>
                <c:pt idx="35">
                  <c:v>4.0999999999999996</c:v>
                </c:pt>
                <c:pt idx="36">
                  <c:v>43.8</c:v>
                </c:pt>
                <c:pt idx="37">
                  <c:v>49.4</c:v>
                </c:pt>
                <c:pt idx="38">
                  <c:v>26.7</c:v>
                </c:pt>
                <c:pt idx="39">
                  <c:v>37.700000000000003</c:v>
                </c:pt>
                <c:pt idx="40">
                  <c:v>22.3</c:v>
                </c:pt>
                <c:pt idx="41">
                  <c:v>33.4</c:v>
                </c:pt>
                <c:pt idx="42">
                  <c:v>27.7</c:v>
                </c:pt>
                <c:pt idx="43">
                  <c:v>8.4</c:v>
                </c:pt>
                <c:pt idx="44">
                  <c:v>25.7</c:v>
                </c:pt>
                <c:pt idx="45">
                  <c:v>22.5</c:v>
                </c:pt>
                <c:pt idx="46">
                  <c:v>9.9</c:v>
                </c:pt>
                <c:pt idx="47">
                  <c:v>41.5</c:v>
                </c:pt>
                <c:pt idx="48">
                  <c:v>15.8</c:v>
                </c:pt>
                <c:pt idx="49">
                  <c:v>11.7</c:v>
                </c:pt>
                <c:pt idx="50">
                  <c:v>3.1</c:v>
                </c:pt>
                <c:pt idx="51">
                  <c:v>9.6</c:v>
                </c:pt>
                <c:pt idx="52">
                  <c:v>41.7</c:v>
                </c:pt>
                <c:pt idx="53">
                  <c:v>46.2</c:v>
                </c:pt>
                <c:pt idx="54">
                  <c:v>28.8</c:v>
                </c:pt>
                <c:pt idx="55">
                  <c:v>49.4</c:v>
                </c:pt>
                <c:pt idx="56">
                  <c:v>28.1</c:v>
                </c:pt>
                <c:pt idx="57">
                  <c:v>19.2</c:v>
                </c:pt>
                <c:pt idx="58">
                  <c:v>49.6</c:v>
                </c:pt>
                <c:pt idx="59">
                  <c:v>29.5</c:v>
                </c:pt>
                <c:pt idx="60">
                  <c:v>2</c:v>
                </c:pt>
                <c:pt idx="61">
                  <c:v>42.7</c:v>
                </c:pt>
                <c:pt idx="62">
                  <c:v>15.5</c:v>
                </c:pt>
                <c:pt idx="63">
                  <c:v>29.6</c:v>
                </c:pt>
                <c:pt idx="64">
                  <c:v>42.8</c:v>
                </c:pt>
                <c:pt idx="65">
                  <c:v>9.3000000000000007</c:v>
                </c:pt>
                <c:pt idx="66">
                  <c:v>24.6</c:v>
                </c:pt>
                <c:pt idx="67">
                  <c:v>14.5</c:v>
                </c:pt>
                <c:pt idx="68">
                  <c:v>27.5</c:v>
                </c:pt>
                <c:pt idx="69">
                  <c:v>43.9</c:v>
                </c:pt>
                <c:pt idx="70">
                  <c:v>30.6</c:v>
                </c:pt>
                <c:pt idx="71">
                  <c:v>14.3</c:v>
                </c:pt>
                <c:pt idx="72">
                  <c:v>33</c:v>
                </c:pt>
                <c:pt idx="73">
                  <c:v>5.7</c:v>
                </c:pt>
                <c:pt idx="74">
                  <c:v>24.6</c:v>
                </c:pt>
                <c:pt idx="75">
                  <c:v>43.7</c:v>
                </c:pt>
                <c:pt idx="76">
                  <c:v>1.6</c:v>
                </c:pt>
                <c:pt idx="77">
                  <c:v>28.5</c:v>
                </c:pt>
                <c:pt idx="78">
                  <c:v>29.9</c:v>
                </c:pt>
                <c:pt idx="79">
                  <c:v>7.7</c:v>
                </c:pt>
                <c:pt idx="80">
                  <c:v>26.7</c:v>
                </c:pt>
                <c:pt idx="81">
                  <c:v>4.0999999999999996</c:v>
                </c:pt>
                <c:pt idx="82">
                  <c:v>20.3</c:v>
                </c:pt>
                <c:pt idx="83">
                  <c:v>44.5</c:v>
                </c:pt>
                <c:pt idx="84">
                  <c:v>43</c:v>
                </c:pt>
                <c:pt idx="85">
                  <c:v>18.399999999999999</c:v>
                </c:pt>
                <c:pt idx="86">
                  <c:v>27.5</c:v>
                </c:pt>
                <c:pt idx="87">
                  <c:v>40.6</c:v>
                </c:pt>
                <c:pt idx="88">
                  <c:v>25.5</c:v>
                </c:pt>
                <c:pt idx="89">
                  <c:v>47.8</c:v>
                </c:pt>
                <c:pt idx="90">
                  <c:v>4.9000000000000004</c:v>
                </c:pt>
                <c:pt idx="91">
                  <c:v>1.5</c:v>
                </c:pt>
                <c:pt idx="92">
                  <c:v>33.5</c:v>
                </c:pt>
                <c:pt idx="93">
                  <c:v>36.5</c:v>
                </c:pt>
                <c:pt idx="94">
                  <c:v>14</c:v>
                </c:pt>
                <c:pt idx="95">
                  <c:v>31.6</c:v>
                </c:pt>
                <c:pt idx="96">
                  <c:v>3.5</c:v>
                </c:pt>
                <c:pt idx="97">
                  <c:v>21</c:v>
                </c:pt>
                <c:pt idx="98">
                  <c:v>42.3</c:v>
                </c:pt>
                <c:pt idx="99">
                  <c:v>41.7</c:v>
                </c:pt>
                <c:pt idx="100">
                  <c:v>4.3</c:v>
                </c:pt>
                <c:pt idx="101">
                  <c:v>36.299999999999997</c:v>
                </c:pt>
                <c:pt idx="102">
                  <c:v>10.1</c:v>
                </c:pt>
                <c:pt idx="103">
                  <c:v>17.2</c:v>
                </c:pt>
                <c:pt idx="104">
                  <c:v>34.299999999999997</c:v>
                </c:pt>
                <c:pt idx="105">
                  <c:v>46.4</c:v>
                </c:pt>
                <c:pt idx="106">
                  <c:v>11</c:v>
                </c:pt>
                <c:pt idx="107">
                  <c:v>0.3</c:v>
                </c:pt>
                <c:pt idx="108">
                  <c:v>0.4</c:v>
                </c:pt>
                <c:pt idx="109">
                  <c:v>26.9</c:v>
                </c:pt>
                <c:pt idx="110">
                  <c:v>8.1999999999999993</c:v>
                </c:pt>
                <c:pt idx="111">
                  <c:v>38</c:v>
                </c:pt>
                <c:pt idx="112">
                  <c:v>15.4</c:v>
                </c:pt>
                <c:pt idx="113">
                  <c:v>20.6</c:v>
                </c:pt>
                <c:pt idx="114">
                  <c:v>46.8</c:v>
                </c:pt>
                <c:pt idx="115">
                  <c:v>35</c:v>
                </c:pt>
                <c:pt idx="116">
                  <c:v>14.3</c:v>
                </c:pt>
                <c:pt idx="117">
                  <c:v>0.8</c:v>
                </c:pt>
                <c:pt idx="118">
                  <c:v>36.9</c:v>
                </c:pt>
                <c:pt idx="119">
                  <c:v>16</c:v>
                </c:pt>
                <c:pt idx="120">
                  <c:v>26.8</c:v>
                </c:pt>
                <c:pt idx="121">
                  <c:v>21.7</c:v>
                </c:pt>
                <c:pt idx="122">
                  <c:v>2.4</c:v>
                </c:pt>
                <c:pt idx="123">
                  <c:v>34.6</c:v>
                </c:pt>
                <c:pt idx="124">
                  <c:v>32.299999999999997</c:v>
                </c:pt>
                <c:pt idx="125">
                  <c:v>11.8</c:v>
                </c:pt>
                <c:pt idx="126">
                  <c:v>38.9</c:v>
                </c:pt>
                <c:pt idx="127">
                  <c:v>0</c:v>
                </c:pt>
                <c:pt idx="128">
                  <c:v>49</c:v>
                </c:pt>
                <c:pt idx="129">
                  <c:v>12</c:v>
                </c:pt>
                <c:pt idx="130">
                  <c:v>39.6</c:v>
                </c:pt>
                <c:pt idx="131">
                  <c:v>2.9</c:v>
                </c:pt>
                <c:pt idx="132">
                  <c:v>27.2</c:v>
                </c:pt>
                <c:pt idx="133">
                  <c:v>33.5</c:v>
                </c:pt>
                <c:pt idx="134">
                  <c:v>38.6</c:v>
                </c:pt>
                <c:pt idx="135">
                  <c:v>47</c:v>
                </c:pt>
                <c:pt idx="136">
                  <c:v>39</c:v>
                </c:pt>
                <c:pt idx="137">
                  <c:v>28.9</c:v>
                </c:pt>
                <c:pt idx="138">
                  <c:v>25.9</c:v>
                </c:pt>
                <c:pt idx="139">
                  <c:v>43.9</c:v>
                </c:pt>
                <c:pt idx="140">
                  <c:v>17</c:v>
                </c:pt>
                <c:pt idx="141">
                  <c:v>35.4</c:v>
                </c:pt>
                <c:pt idx="142">
                  <c:v>33.200000000000003</c:v>
                </c:pt>
                <c:pt idx="143">
                  <c:v>5.7</c:v>
                </c:pt>
                <c:pt idx="144">
                  <c:v>14.8</c:v>
                </c:pt>
                <c:pt idx="145">
                  <c:v>1.9</c:v>
                </c:pt>
                <c:pt idx="146">
                  <c:v>7.3</c:v>
                </c:pt>
                <c:pt idx="147">
                  <c:v>49</c:v>
                </c:pt>
                <c:pt idx="148">
                  <c:v>40.299999999999997</c:v>
                </c:pt>
                <c:pt idx="149">
                  <c:v>25.8</c:v>
                </c:pt>
                <c:pt idx="150">
                  <c:v>13.9</c:v>
                </c:pt>
                <c:pt idx="151">
                  <c:v>8.4</c:v>
                </c:pt>
                <c:pt idx="152">
                  <c:v>23.3</c:v>
                </c:pt>
                <c:pt idx="153">
                  <c:v>39.700000000000003</c:v>
                </c:pt>
                <c:pt idx="154">
                  <c:v>21.1</c:v>
                </c:pt>
                <c:pt idx="155">
                  <c:v>11.6</c:v>
                </c:pt>
                <c:pt idx="156">
                  <c:v>43.5</c:v>
                </c:pt>
                <c:pt idx="157">
                  <c:v>1.3</c:v>
                </c:pt>
                <c:pt idx="158">
                  <c:v>36.9</c:v>
                </c:pt>
                <c:pt idx="159">
                  <c:v>18.399999999999999</c:v>
                </c:pt>
                <c:pt idx="160">
                  <c:v>18.100000000000001</c:v>
                </c:pt>
                <c:pt idx="161">
                  <c:v>35.799999999999997</c:v>
                </c:pt>
                <c:pt idx="162">
                  <c:v>18.100000000000001</c:v>
                </c:pt>
                <c:pt idx="163">
                  <c:v>36.799999999999997</c:v>
                </c:pt>
                <c:pt idx="164">
                  <c:v>14.7</c:v>
                </c:pt>
                <c:pt idx="165">
                  <c:v>3.4</c:v>
                </c:pt>
                <c:pt idx="166">
                  <c:v>37.6</c:v>
                </c:pt>
                <c:pt idx="167">
                  <c:v>5.2</c:v>
                </c:pt>
                <c:pt idx="168">
                  <c:v>23.6</c:v>
                </c:pt>
                <c:pt idx="169">
                  <c:v>10.6</c:v>
                </c:pt>
                <c:pt idx="170">
                  <c:v>11.6</c:v>
                </c:pt>
                <c:pt idx="171">
                  <c:v>20.9</c:v>
                </c:pt>
                <c:pt idx="172">
                  <c:v>20.100000000000001</c:v>
                </c:pt>
                <c:pt idx="173">
                  <c:v>7.1</c:v>
                </c:pt>
                <c:pt idx="174">
                  <c:v>3.4</c:v>
                </c:pt>
                <c:pt idx="175">
                  <c:v>48.9</c:v>
                </c:pt>
                <c:pt idx="176">
                  <c:v>30.2</c:v>
                </c:pt>
                <c:pt idx="177">
                  <c:v>7.8</c:v>
                </c:pt>
                <c:pt idx="178">
                  <c:v>2.2999999999999998</c:v>
                </c:pt>
                <c:pt idx="179">
                  <c:v>10</c:v>
                </c:pt>
                <c:pt idx="180">
                  <c:v>2.6</c:v>
                </c:pt>
                <c:pt idx="181">
                  <c:v>5.4</c:v>
                </c:pt>
                <c:pt idx="182">
                  <c:v>5.7</c:v>
                </c:pt>
                <c:pt idx="183">
                  <c:v>43</c:v>
                </c:pt>
                <c:pt idx="184">
                  <c:v>21.3</c:v>
                </c:pt>
                <c:pt idx="185">
                  <c:v>45.1</c:v>
                </c:pt>
                <c:pt idx="186">
                  <c:v>2.1</c:v>
                </c:pt>
                <c:pt idx="187">
                  <c:v>28.7</c:v>
                </c:pt>
                <c:pt idx="188">
                  <c:v>13.9</c:v>
                </c:pt>
                <c:pt idx="189">
                  <c:v>12.1</c:v>
                </c:pt>
                <c:pt idx="190">
                  <c:v>41.1</c:v>
                </c:pt>
                <c:pt idx="191">
                  <c:v>10.8</c:v>
                </c:pt>
                <c:pt idx="192">
                  <c:v>4.0999999999999996</c:v>
                </c:pt>
                <c:pt idx="193">
                  <c:v>42</c:v>
                </c:pt>
                <c:pt idx="194">
                  <c:v>35.6</c:v>
                </c:pt>
                <c:pt idx="195">
                  <c:v>3.7</c:v>
                </c:pt>
                <c:pt idx="196">
                  <c:v>4.9000000000000004</c:v>
                </c:pt>
                <c:pt idx="197">
                  <c:v>9.3000000000000007</c:v>
                </c:pt>
                <c:pt idx="198">
                  <c:v>42</c:v>
                </c:pt>
                <c:pt idx="199">
                  <c:v>0</c:v>
                </c:pt>
              </c:numCache>
            </c:numRef>
          </c:xVal>
          <c:yVal>
            <c:numRef>
              <c:f>advertising_Dataset!$E$2:$E$201</c:f>
              <c:numCache>
                <c:formatCode>General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14-425F-9EA3-FE8CED0D5747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advertising_Dataset!$C$2:$C$201</c:f>
              <c:numCache>
                <c:formatCode>General</c:formatCode>
                <c:ptCount val="200"/>
                <c:pt idx="0">
                  <c:v>37.799999999999997</c:v>
                </c:pt>
                <c:pt idx="1">
                  <c:v>39.299999999999997</c:v>
                </c:pt>
                <c:pt idx="2">
                  <c:v>45.9</c:v>
                </c:pt>
                <c:pt idx="3">
                  <c:v>41.3</c:v>
                </c:pt>
                <c:pt idx="4">
                  <c:v>10.8</c:v>
                </c:pt>
                <c:pt idx="5">
                  <c:v>48.9</c:v>
                </c:pt>
                <c:pt idx="6">
                  <c:v>32.799999999999997</c:v>
                </c:pt>
                <c:pt idx="7">
                  <c:v>19.600000000000001</c:v>
                </c:pt>
                <c:pt idx="8">
                  <c:v>2.1</c:v>
                </c:pt>
                <c:pt idx="9">
                  <c:v>2.6</c:v>
                </c:pt>
                <c:pt idx="10">
                  <c:v>5.8</c:v>
                </c:pt>
                <c:pt idx="11">
                  <c:v>24</c:v>
                </c:pt>
                <c:pt idx="12">
                  <c:v>35.1</c:v>
                </c:pt>
                <c:pt idx="13">
                  <c:v>7.6</c:v>
                </c:pt>
                <c:pt idx="14">
                  <c:v>32.9</c:v>
                </c:pt>
                <c:pt idx="15">
                  <c:v>47.7</c:v>
                </c:pt>
                <c:pt idx="16">
                  <c:v>36.6</c:v>
                </c:pt>
                <c:pt idx="17">
                  <c:v>39.6</c:v>
                </c:pt>
                <c:pt idx="18">
                  <c:v>20.5</c:v>
                </c:pt>
                <c:pt idx="19">
                  <c:v>23.9</c:v>
                </c:pt>
                <c:pt idx="20">
                  <c:v>27.7</c:v>
                </c:pt>
                <c:pt idx="21">
                  <c:v>5.0999999999999996</c:v>
                </c:pt>
                <c:pt idx="22">
                  <c:v>15.9</c:v>
                </c:pt>
                <c:pt idx="23">
                  <c:v>16.899999999999999</c:v>
                </c:pt>
                <c:pt idx="24">
                  <c:v>12.6</c:v>
                </c:pt>
                <c:pt idx="25">
                  <c:v>3.5</c:v>
                </c:pt>
                <c:pt idx="26">
                  <c:v>29.3</c:v>
                </c:pt>
                <c:pt idx="27">
                  <c:v>16.7</c:v>
                </c:pt>
                <c:pt idx="28">
                  <c:v>27.1</c:v>
                </c:pt>
                <c:pt idx="29">
                  <c:v>16</c:v>
                </c:pt>
                <c:pt idx="30">
                  <c:v>28.3</c:v>
                </c:pt>
                <c:pt idx="31">
                  <c:v>17.399999999999999</c:v>
                </c:pt>
                <c:pt idx="32">
                  <c:v>1.5</c:v>
                </c:pt>
                <c:pt idx="33">
                  <c:v>20</c:v>
                </c:pt>
                <c:pt idx="34">
                  <c:v>1.4</c:v>
                </c:pt>
                <c:pt idx="35">
                  <c:v>4.0999999999999996</c:v>
                </c:pt>
                <c:pt idx="36">
                  <c:v>43.8</c:v>
                </c:pt>
                <c:pt idx="37">
                  <c:v>49.4</c:v>
                </c:pt>
                <c:pt idx="38">
                  <c:v>26.7</c:v>
                </c:pt>
                <c:pt idx="39">
                  <c:v>37.700000000000003</c:v>
                </c:pt>
                <c:pt idx="40">
                  <c:v>22.3</c:v>
                </c:pt>
                <c:pt idx="41">
                  <c:v>33.4</c:v>
                </c:pt>
                <c:pt idx="42">
                  <c:v>27.7</c:v>
                </c:pt>
                <c:pt idx="43">
                  <c:v>8.4</c:v>
                </c:pt>
                <c:pt idx="44">
                  <c:v>25.7</c:v>
                </c:pt>
                <c:pt idx="45">
                  <c:v>22.5</c:v>
                </c:pt>
                <c:pt idx="46">
                  <c:v>9.9</c:v>
                </c:pt>
                <c:pt idx="47">
                  <c:v>41.5</c:v>
                </c:pt>
                <c:pt idx="48">
                  <c:v>15.8</c:v>
                </c:pt>
                <c:pt idx="49">
                  <c:v>11.7</c:v>
                </c:pt>
                <c:pt idx="50">
                  <c:v>3.1</c:v>
                </c:pt>
                <c:pt idx="51">
                  <c:v>9.6</c:v>
                </c:pt>
                <c:pt idx="52">
                  <c:v>41.7</c:v>
                </c:pt>
                <c:pt idx="53">
                  <c:v>46.2</c:v>
                </c:pt>
                <c:pt idx="54">
                  <c:v>28.8</c:v>
                </c:pt>
                <c:pt idx="55">
                  <c:v>49.4</c:v>
                </c:pt>
                <c:pt idx="56">
                  <c:v>28.1</c:v>
                </c:pt>
                <c:pt idx="57">
                  <c:v>19.2</c:v>
                </c:pt>
                <c:pt idx="58">
                  <c:v>49.6</c:v>
                </c:pt>
                <c:pt idx="59">
                  <c:v>29.5</c:v>
                </c:pt>
                <c:pt idx="60">
                  <c:v>2</c:v>
                </c:pt>
                <c:pt idx="61">
                  <c:v>42.7</c:v>
                </c:pt>
                <c:pt idx="62">
                  <c:v>15.5</c:v>
                </c:pt>
                <c:pt idx="63">
                  <c:v>29.6</c:v>
                </c:pt>
                <c:pt idx="64">
                  <c:v>42.8</c:v>
                </c:pt>
                <c:pt idx="65">
                  <c:v>9.3000000000000007</c:v>
                </c:pt>
                <c:pt idx="66">
                  <c:v>24.6</c:v>
                </c:pt>
                <c:pt idx="67">
                  <c:v>14.5</c:v>
                </c:pt>
                <c:pt idx="68">
                  <c:v>27.5</c:v>
                </c:pt>
                <c:pt idx="69">
                  <c:v>43.9</c:v>
                </c:pt>
                <c:pt idx="70">
                  <c:v>30.6</c:v>
                </c:pt>
                <c:pt idx="71">
                  <c:v>14.3</c:v>
                </c:pt>
                <c:pt idx="72">
                  <c:v>33</c:v>
                </c:pt>
                <c:pt idx="73">
                  <c:v>5.7</c:v>
                </c:pt>
                <c:pt idx="74">
                  <c:v>24.6</c:v>
                </c:pt>
                <c:pt idx="75">
                  <c:v>43.7</c:v>
                </c:pt>
                <c:pt idx="76">
                  <c:v>1.6</c:v>
                </c:pt>
                <c:pt idx="77">
                  <c:v>28.5</c:v>
                </c:pt>
                <c:pt idx="78">
                  <c:v>29.9</c:v>
                </c:pt>
                <c:pt idx="79">
                  <c:v>7.7</c:v>
                </c:pt>
                <c:pt idx="80">
                  <c:v>26.7</c:v>
                </c:pt>
                <c:pt idx="81">
                  <c:v>4.0999999999999996</c:v>
                </c:pt>
                <c:pt idx="82">
                  <c:v>20.3</c:v>
                </c:pt>
                <c:pt idx="83">
                  <c:v>44.5</c:v>
                </c:pt>
                <c:pt idx="84">
                  <c:v>43</c:v>
                </c:pt>
                <c:pt idx="85">
                  <c:v>18.399999999999999</c:v>
                </c:pt>
                <c:pt idx="86">
                  <c:v>27.5</c:v>
                </c:pt>
                <c:pt idx="87">
                  <c:v>40.6</c:v>
                </c:pt>
                <c:pt idx="88">
                  <c:v>25.5</c:v>
                </c:pt>
                <c:pt idx="89">
                  <c:v>47.8</c:v>
                </c:pt>
                <c:pt idx="90">
                  <c:v>4.9000000000000004</c:v>
                </c:pt>
                <c:pt idx="91">
                  <c:v>1.5</c:v>
                </c:pt>
                <c:pt idx="92">
                  <c:v>33.5</c:v>
                </c:pt>
                <c:pt idx="93">
                  <c:v>36.5</c:v>
                </c:pt>
                <c:pt idx="94">
                  <c:v>14</c:v>
                </c:pt>
                <c:pt idx="95">
                  <c:v>31.6</c:v>
                </c:pt>
                <c:pt idx="96">
                  <c:v>3.5</c:v>
                </c:pt>
                <c:pt idx="97">
                  <c:v>21</c:v>
                </c:pt>
                <c:pt idx="98">
                  <c:v>42.3</c:v>
                </c:pt>
                <c:pt idx="99">
                  <c:v>41.7</c:v>
                </c:pt>
                <c:pt idx="100">
                  <c:v>4.3</c:v>
                </c:pt>
                <c:pt idx="101">
                  <c:v>36.299999999999997</c:v>
                </c:pt>
                <c:pt idx="102">
                  <c:v>10.1</c:v>
                </c:pt>
                <c:pt idx="103">
                  <c:v>17.2</c:v>
                </c:pt>
                <c:pt idx="104">
                  <c:v>34.299999999999997</c:v>
                </c:pt>
                <c:pt idx="105">
                  <c:v>46.4</c:v>
                </c:pt>
                <c:pt idx="106">
                  <c:v>11</c:v>
                </c:pt>
                <c:pt idx="107">
                  <c:v>0.3</c:v>
                </c:pt>
                <c:pt idx="108">
                  <c:v>0.4</c:v>
                </c:pt>
                <c:pt idx="109">
                  <c:v>26.9</c:v>
                </c:pt>
                <c:pt idx="110">
                  <c:v>8.1999999999999993</c:v>
                </c:pt>
                <c:pt idx="111">
                  <c:v>38</c:v>
                </c:pt>
                <c:pt idx="112">
                  <c:v>15.4</c:v>
                </c:pt>
                <c:pt idx="113">
                  <c:v>20.6</c:v>
                </c:pt>
                <c:pt idx="114">
                  <c:v>46.8</c:v>
                </c:pt>
                <c:pt idx="115">
                  <c:v>35</c:v>
                </c:pt>
                <c:pt idx="116">
                  <c:v>14.3</c:v>
                </c:pt>
                <c:pt idx="117">
                  <c:v>0.8</c:v>
                </c:pt>
                <c:pt idx="118">
                  <c:v>36.9</c:v>
                </c:pt>
                <c:pt idx="119">
                  <c:v>16</c:v>
                </c:pt>
                <c:pt idx="120">
                  <c:v>26.8</c:v>
                </c:pt>
                <c:pt idx="121">
                  <c:v>21.7</c:v>
                </c:pt>
                <c:pt idx="122">
                  <c:v>2.4</c:v>
                </c:pt>
                <c:pt idx="123">
                  <c:v>34.6</c:v>
                </c:pt>
                <c:pt idx="124">
                  <c:v>32.299999999999997</c:v>
                </c:pt>
                <c:pt idx="125">
                  <c:v>11.8</c:v>
                </c:pt>
                <c:pt idx="126">
                  <c:v>38.9</c:v>
                </c:pt>
                <c:pt idx="127">
                  <c:v>0</c:v>
                </c:pt>
                <c:pt idx="128">
                  <c:v>49</c:v>
                </c:pt>
                <c:pt idx="129">
                  <c:v>12</c:v>
                </c:pt>
                <c:pt idx="130">
                  <c:v>39.6</c:v>
                </c:pt>
                <c:pt idx="131">
                  <c:v>2.9</c:v>
                </c:pt>
                <c:pt idx="132">
                  <c:v>27.2</c:v>
                </c:pt>
                <c:pt idx="133">
                  <c:v>33.5</c:v>
                </c:pt>
                <c:pt idx="134">
                  <c:v>38.6</c:v>
                </c:pt>
                <c:pt idx="135">
                  <c:v>47</c:v>
                </c:pt>
                <c:pt idx="136">
                  <c:v>39</c:v>
                </c:pt>
                <c:pt idx="137">
                  <c:v>28.9</c:v>
                </c:pt>
                <c:pt idx="138">
                  <c:v>25.9</c:v>
                </c:pt>
                <c:pt idx="139">
                  <c:v>43.9</c:v>
                </c:pt>
                <c:pt idx="140">
                  <c:v>17</c:v>
                </c:pt>
                <c:pt idx="141">
                  <c:v>35.4</c:v>
                </c:pt>
                <c:pt idx="142">
                  <c:v>33.200000000000003</c:v>
                </c:pt>
                <c:pt idx="143">
                  <c:v>5.7</c:v>
                </c:pt>
                <c:pt idx="144">
                  <c:v>14.8</c:v>
                </c:pt>
                <c:pt idx="145">
                  <c:v>1.9</c:v>
                </c:pt>
                <c:pt idx="146">
                  <c:v>7.3</c:v>
                </c:pt>
                <c:pt idx="147">
                  <c:v>49</c:v>
                </c:pt>
                <c:pt idx="148">
                  <c:v>40.299999999999997</c:v>
                </c:pt>
                <c:pt idx="149">
                  <c:v>25.8</c:v>
                </c:pt>
                <c:pt idx="150">
                  <c:v>13.9</c:v>
                </c:pt>
                <c:pt idx="151">
                  <c:v>8.4</c:v>
                </c:pt>
                <c:pt idx="152">
                  <c:v>23.3</c:v>
                </c:pt>
                <c:pt idx="153">
                  <c:v>39.700000000000003</c:v>
                </c:pt>
                <c:pt idx="154">
                  <c:v>21.1</c:v>
                </c:pt>
                <c:pt idx="155">
                  <c:v>11.6</c:v>
                </c:pt>
                <c:pt idx="156">
                  <c:v>43.5</c:v>
                </c:pt>
                <c:pt idx="157">
                  <c:v>1.3</c:v>
                </c:pt>
                <c:pt idx="158">
                  <c:v>36.9</c:v>
                </c:pt>
                <c:pt idx="159">
                  <c:v>18.399999999999999</c:v>
                </c:pt>
                <c:pt idx="160">
                  <c:v>18.100000000000001</c:v>
                </c:pt>
                <c:pt idx="161">
                  <c:v>35.799999999999997</c:v>
                </c:pt>
                <c:pt idx="162">
                  <c:v>18.100000000000001</c:v>
                </c:pt>
                <c:pt idx="163">
                  <c:v>36.799999999999997</c:v>
                </c:pt>
                <c:pt idx="164">
                  <c:v>14.7</c:v>
                </c:pt>
                <c:pt idx="165">
                  <c:v>3.4</c:v>
                </c:pt>
                <c:pt idx="166">
                  <c:v>37.6</c:v>
                </c:pt>
                <c:pt idx="167">
                  <c:v>5.2</c:v>
                </c:pt>
                <c:pt idx="168">
                  <c:v>23.6</c:v>
                </c:pt>
                <c:pt idx="169">
                  <c:v>10.6</c:v>
                </c:pt>
                <c:pt idx="170">
                  <c:v>11.6</c:v>
                </c:pt>
                <c:pt idx="171">
                  <c:v>20.9</c:v>
                </c:pt>
                <c:pt idx="172">
                  <c:v>20.100000000000001</c:v>
                </c:pt>
                <c:pt idx="173">
                  <c:v>7.1</c:v>
                </c:pt>
                <c:pt idx="174">
                  <c:v>3.4</c:v>
                </c:pt>
                <c:pt idx="175">
                  <c:v>48.9</c:v>
                </c:pt>
                <c:pt idx="176">
                  <c:v>30.2</c:v>
                </c:pt>
                <c:pt idx="177">
                  <c:v>7.8</c:v>
                </c:pt>
                <c:pt idx="178">
                  <c:v>2.2999999999999998</c:v>
                </c:pt>
                <c:pt idx="179">
                  <c:v>10</c:v>
                </c:pt>
                <c:pt idx="180">
                  <c:v>2.6</c:v>
                </c:pt>
                <c:pt idx="181">
                  <c:v>5.4</c:v>
                </c:pt>
                <c:pt idx="182">
                  <c:v>5.7</c:v>
                </c:pt>
                <c:pt idx="183">
                  <c:v>43</c:v>
                </c:pt>
                <c:pt idx="184">
                  <c:v>21.3</c:v>
                </c:pt>
                <c:pt idx="185">
                  <c:v>45.1</c:v>
                </c:pt>
                <c:pt idx="186">
                  <c:v>2.1</c:v>
                </c:pt>
                <c:pt idx="187">
                  <c:v>28.7</c:v>
                </c:pt>
                <c:pt idx="188">
                  <c:v>13.9</c:v>
                </c:pt>
                <c:pt idx="189">
                  <c:v>12.1</c:v>
                </c:pt>
                <c:pt idx="190">
                  <c:v>41.1</c:v>
                </c:pt>
                <c:pt idx="191">
                  <c:v>10.8</c:v>
                </c:pt>
                <c:pt idx="192">
                  <c:v>4.0999999999999996</c:v>
                </c:pt>
                <c:pt idx="193">
                  <c:v>42</c:v>
                </c:pt>
                <c:pt idx="194">
                  <c:v>35.6</c:v>
                </c:pt>
                <c:pt idx="195">
                  <c:v>3.7</c:v>
                </c:pt>
                <c:pt idx="196">
                  <c:v>4.9000000000000004</c:v>
                </c:pt>
                <c:pt idx="197">
                  <c:v>9.3000000000000007</c:v>
                </c:pt>
                <c:pt idx="198">
                  <c:v>42</c:v>
                </c:pt>
                <c:pt idx="199">
                  <c:v>0</c:v>
                </c:pt>
              </c:numCache>
            </c:numRef>
          </c:xVal>
          <c:yVal>
            <c:numRef>
              <c:f>'Predicted Sales'!$B$27:$B$226</c:f>
              <c:numCache>
                <c:formatCode>General</c:formatCode>
                <c:ptCount val="200"/>
                <c:pt idx="0">
                  <c:v>20.523195151535901</c:v>
                </c:pt>
                <c:pt idx="1">
                  <c:v>12.324989226267956</c:v>
                </c:pt>
                <c:pt idx="2">
                  <c:v>12.282122313239745</c:v>
                </c:pt>
                <c:pt idx="3">
                  <c:v>17.590999787523227</c:v>
                </c:pt>
                <c:pt idx="4">
                  <c:v>13.196388070096052</c:v>
                </c:pt>
                <c:pt idx="5">
                  <c:v>12.449054609545115</c:v>
                </c:pt>
                <c:pt idx="6">
                  <c:v>11.727287606754249</c:v>
                </c:pt>
                <c:pt idx="7">
                  <c:v>12.135498194641171</c:v>
                </c:pt>
                <c:pt idx="8">
                  <c:v>3.7383852036805543</c:v>
                </c:pt>
                <c:pt idx="9">
                  <c:v>12.574987174450818</c:v>
                </c:pt>
                <c:pt idx="10">
                  <c:v>7.0406970108989189</c:v>
                </c:pt>
                <c:pt idx="11">
                  <c:v>17.307958301952898</c:v>
                </c:pt>
                <c:pt idx="12">
                  <c:v>10.55736854610242</c:v>
                </c:pt>
                <c:pt idx="13">
                  <c:v>8.8424185108464624</c:v>
                </c:pt>
                <c:pt idx="14">
                  <c:v>18.439894485334655</c:v>
                </c:pt>
                <c:pt idx="15">
                  <c:v>20.816233722266968</c:v>
                </c:pt>
                <c:pt idx="16">
                  <c:v>12.793093218981529</c:v>
                </c:pt>
                <c:pt idx="17">
                  <c:v>23.23282219592247</c:v>
                </c:pt>
                <c:pt idx="18">
                  <c:v>9.9566433966637042</c:v>
                </c:pt>
                <c:pt idx="19">
                  <c:v>14.177455402472756</c:v>
                </c:pt>
                <c:pt idx="20">
                  <c:v>18.107452227472962</c:v>
                </c:pt>
                <c:pt idx="21">
                  <c:v>14.766855494381579</c:v>
                </c:pt>
                <c:pt idx="22">
                  <c:v>6.4805681323586271</c:v>
                </c:pt>
                <c:pt idx="23">
                  <c:v>16.56603555039133</c:v>
                </c:pt>
                <c:pt idx="24">
                  <c:v>8.1537647328570309</c:v>
                </c:pt>
                <c:pt idx="25">
                  <c:v>15.640781537669755</c:v>
                </c:pt>
                <c:pt idx="26">
                  <c:v>15.000396735665998</c:v>
                </c:pt>
                <c:pt idx="27">
                  <c:v>17.074063269014943</c:v>
                </c:pt>
                <c:pt idx="28">
                  <c:v>19.429881336746931</c:v>
                </c:pt>
                <c:pt idx="29">
                  <c:v>9.1439417434147003</c:v>
                </c:pt>
                <c:pt idx="30">
                  <c:v>21.651099276224084</c:v>
                </c:pt>
                <c:pt idx="31">
                  <c:v>11.350461532839503</c:v>
                </c:pt>
                <c:pt idx="32">
                  <c:v>7.6502977387295603</c:v>
                </c:pt>
                <c:pt idx="33">
                  <c:v>18.894924715728113</c:v>
                </c:pt>
                <c:pt idx="34">
                  <c:v>7.5930483130757507</c:v>
                </c:pt>
                <c:pt idx="35">
                  <c:v>17.043539869292168</c:v>
                </c:pt>
                <c:pt idx="36">
                  <c:v>23.42625166888449</c:v>
                </c:pt>
                <c:pt idx="37">
                  <c:v>15.609684410485778</c:v>
                </c:pt>
                <c:pt idx="38">
                  <c:v>9.9034981393027923</c:v>
                </c:pt>
                <c:pt idx="39">
                  <c:v>20.458042470937908</c:v>
                </c:pt>
                <c:pt idx="40">
                  <c:v>16.391445788059258</c:v>
                </c:pt>
                <c:pt idx="41">
                  <c:v>17.300797732495159</c:v>
                </c:pt>
                <c:pt idx="42">
                  <c:v>21.625939860183099</c:v>
                </c:pt>
                <c:pt idx="43">
                  <c:v>13.984933374116842</c:v>
                </c:pt>
                <c:pt idx="44">
                  <c:v>8.8787324254172759</c:v>
                </c:pt>
                <c:pt idx="45">
                  <c:v>15.172469574662658</c:v>
                </c:pt>
                <c:pt idx="46">
                  <c:v>8.8791168160788381</c:v>
                </c:pt>
                <c:pt idx="47">
                  <c:v>21.736969243821729</c:v>
                </c:pt>
                <c:pt idx="48">
                  <c:v>16.276771926112595</c:v>
                </c:pt>
                <c:pt idx="49">
                  <c:v>8.1705570443187749</c:v>
                </c:pt>
                <c:pt idx="50">
                  <c:v>12.651058835189284</c:v>
                </c:pt>
                <c:pt idx="51">
                  <c:v>9.3565720378325512</c:v>
                </c:pt>
                <c:pt idx="52">
                  <c:v>20.66838781047759</c:v>
                </c:pt>
                <c:pt idx="53">
                  <c:v>19.939122285347544</c:v>
                </c:pt>
                <c:pt idx="54">
                  <c:v>20.396688585002419</c:v>
                </c:pt>
                <c:pt idx="55">
                  <c:v>21.287084986738297</c:v>
                </c:pt>
                <c:pt idx="56">
                  <c:v>8.5164269042294958</c:v>
                </c:pt>
                <c:pt idx="57">
                  <c:v>12.787382741488015</c:v>
                </c:pt>
                <c:pt idx="58">
                  <c:v>21.900488593930525</c:v>
                </c:pt>
                <c:pt idx="59">
                  <c:v>18.152206881110825</c:v>
                </c:pt>
                <c:pt idx="60">
                  <c:v>5.7515644642328034</c:v>
                </c:pt>
                <c:pt idx="61">
                  <c:v>22.895655275604174</c:v>
                </c:pt>
                <c:pt idx="62">
                  <c:v>16.805675950374493</c:v>
                </c:pt>
                <c:pt idx="63">
                  <c:v>13.218653824644788</c:v>
                </c:pt>
                <c:pt idx="64">
                  <c:v>16.977322588262517</c:v>
                </c:pt>
                <c:pt idx="65">
                  <c:v>7.8635474062961297</c:v>
                </c:pt>
                <c:pt idx="66">
                  <c:v>9.0205327843715928</c:v>
                </c:pt>
                <c:pt idx="67">
                  <c:v>12.053853843725832</c:v>
                </c:pt>
                <c:pt idx="68">
                  <c:v>18.998253366223828</c:v>
                </c:pt>
                <c:pt idx="69">
                  <c:v>21.117329290325667</c:v>
                </c:pt>
                <c:pt idx="70">
                  <c:v>17.787621107329031</c:v>
                </c:pt>
                <c:pt idx="71">
                  <c:v>10.634275454568254</c:v>
                </c:pt>
                <c:pt idx="72">
                  <c:v>10.362460857974094</c:v>
                </c:pt>
                <c:pt idx="73">
                  <c:v>9.9156890379715321</c:v>
                </c:pt>
                <c:pt idx="74">
                  <c:v>17.348996255798696</c:v>
                </c:pt>
                <c:pt idx="75">
                  <c:v>11.827421727569108</c:v>
                </c:pt>
                <c:pt idx="76">
                  <c:v>4.4847163078797596</c:v>
                </c:pt>
                <c:pt idx="77">
                  <c:v>13.82031677491945</c:v>
                </c:pt>
                <c:pt idx="78">
                  <c:v>8.8109494060026101</c:v>
                </c:pt>
                <c:pt idx="79">
                  <c:v>9.6883998743396447</c:v>
                </c:pt>
                <c:pt idx="80">
                  <c:v>11.448049331738343</c:v>
                </c:pt>
                <c:pt idx="81">
                  <c:v>14.670778787485421</c:v>
                </c:pt>
                <c:pt idx="82">
                  <c:v>10.179719231318042</c:v>
                </c:pt>
                <c:pt idx="83">
                  <c:v>14.41235175802688</c:v>
                </c:pt>
                <c:pt idx="84">
                  <c:v>20.787765470498758</c:v>
                </c:pt>
                <c:pt idx="85">
                  <c:v>15.185278370802223</c:v>
                </c:pt>
                <c:pt idx="86">
                  <c:v>11.602448921109099</c:v>
                </c:pt>
                <c:pt idx="87">
                  <c:v>15.581627013342256</c:v>
                </c:pt>
                <c:pt idx="88">
                  <c:v>11.699419720969209</c:v>
                </c:pt>
                <c:pt idx="89">
                  <c:v>16.910895493135012</c:v>
                </c:pt>
                <c:pt idx="90">
                  <c:v>10.019472444531532</c:v>
                </c:pt>
                <c:pt idx="91">
                  <c:v>4.4998278902409243</c:v>
                </c:pt>
                <c:pt idx="92">
                  <c:v>19.159102611121252</c:v>
                </c:pt>
                <c:pt idx="93">
                  <c:v>21.228454825341387</c:v>
                </c:pt>
                <c:pt idx="94">
                  <c:v>10.49569734676292</c:v>
                </c:pt>
                <c:pt idx="95">
                  <c:v>16.314674635134676</c:v>
                </c:pt>
                <c:pt idx="96">
                  <c:v>12.663974829644003</c:v>
                </c:pt>
                <c:pt idx="97">
                  <c:v>15.352497237146574</c:v>
                </c:pt>
                <c:pt idx="98">
                  <c:v>24.127704539724622</c:v>
                </c:pt>
                <c:pt idx="99">
                  <c:v>16.935566694437323</c:v>
                </c:pt>
                <c:pt idx="100">
                  <c:v>13.893000303187726</c:v>
                </c:pt>
                <c:pt idx="101">
                  <c:v>23.239321215979746</c:v>
                </c:pt>
                <c:pt idx="102">
                  <c:v>17.673521034382471</c:v>
                </c:pt>
                <c:pt idx="103">
                  <c:v>14.780628124570974</c:v>
                </c:pt>
                <c:pt idx="104">
                  <c:v>20.322038075323885</c:v>
                </c:pt>
                <c:pt idx="105">
                  <c:v>17.926118902529367</c:v>
                </c:pt>
                <c:pt idx="106">
                  <c:v>6.1265856945587887</c:v>
                </c:pt>
                <c:pt idx="107">
                  <c:v>7.1217600366041491</c:v>
                </c:pt>
                <c:pt idx="108">
                  <c:v>3.5918733549429573</c:v>
                </c:pt>
                <c:pt idx="109">
                  <c:v>19.718348290407338</c:v>
                </c:pt>
                <c:pt idx="110">
                  <c:v>14.773736569059263</c:v>
                </c:pt>
                <c:pt idx="111">
                  <c:v>21.154682238661881</c:v>
                </c:pt>
                <c:pt idx="112">
                  <c:v>13.903209756660377</c:v>
                </c:pt>
                <c:pt idx="113">
                  <c:v>16.425320717789667</c:v>
                </c:pt>
                <c:pt idx="114">
                  <c:v>15.296070410172021</c:v>
                </c:pt>
                <c:pt idx="115">
                  <c:v>12.909238237573879</c:v>
                </c:pt>
                <c:pt idx="116">
                  <c:v>11.990945312279209</c:v>
                </c:pt>
                <c:pt idx="117">
                  <c:v>6.5849918514005523</c:v>
                </c:pt>
                <c:pt idx="118">
                  <c:v>15.55196414835263</c:v>
                </c:pt>
                <c:pt idx="119">
                  <c:v>6.8204357568963134</c:v>
                </c:pt>
                <c:pt idx="120">
                  <c:v>14.411485525291518</c:v>
                </c:pt>
                <c:pt idx="121">
                  <c:v>7.8276265027295899</c:v>
                </c:pt>
                <c:pt idx="122">
                  <c:v>13.654849264865341</c:v>
                </c:pt>
                <c:pt idx="123">
                  <c:v>15.089714714705979</c:v>
                </c:pt>
                <c:pt idx="124">
                  <c:v>19.454121742079849</c:v>
                </c:pt>
                <c:pt idx="125">
                  <c:v>9.1351066228184319</c:v>
                </c:pt>
                <c:pt idx="126">
                  <c:v>10.559039621124727</c:v>
                </c:pt>
                <c:pt idx="127">
                  <c:v>6.6162870464763683</c:v>
                </c:pt>
                <c:pt idx="128">
                  <c:v>22.269683142156484</c:v>
                </c:pt>
                <c:pt idx="129">
                  <c:v>7.8837127666662843</c:v>
                </c:pt>
                <c:pt idx="130">
                  <c:v>10.421391117881434</c:v>
                </c:pt>
                <c:pt idx="131">
                  <c:v>15.601808548087334</c:v>
                </c:pt>
                <c:pt idx="132">
                  <c:v>8.4503469293701059</c:v>
                </c:pt>
                <c:pt idx="133">
                  <c:v>19.274098270583192</c:v>
                </c:pt>
                <c:pt idx="134">
                  <c:v>11.817153921148019</c:v>
                </c:pt>
                <c:pt idx="135">
                  <c:v>13.997227397594742</c:v>
                </c:pt>
                <c:pt idx="136">
                  <c:v>11.449768618939208</c:v>
                </c:pt>
                <c:pt idx="137">
                  <c:v>20.861184956925694</c:v>
                </c:pt>
                <c:pt idx="138">
                  <c:v>9.7680065841827766</c:v>
                </c:pt>
                <c:pt idx="139">
                  <c:v>19.688451176861669</c:v>
                </c:pt>
                <c:pt idx="140">
                  <c:v>9.4980062928232769</c:v>
                </c:pt>
                <c:pt idx="141">
                  <c:v>18.393492416913599</c:v>
                </c:pt>
                <c:pt idx="142">
                  <c:v>19.259433167464746</c:v>
                </c:pt>
                <c:pt idx="143">
                  <c:v>8.7740357005548812</c:v>
                </c:pt>
                <c:pt idx="144">
                  <c:v>10.094893628548119</c:v>
                </c:pt>
                <c:pt idx="145">
                  <c:v>9.7306185403989662</c:v>
                </c:pt>
                <c:pt idx="146">
                  <c:v>15.324514478075907</c:v>
                </c:pt>
                <c:pt idx="147">
                  <c:v>23.264802907225398</c:v>
                </c:pt>
                <c:pt idx="148">
                  <c:v>12.25961681570689</c:v>
                </c:pt>
                <c:pt idx="149">
                  <c:v>9.8270300116391329</c:v>
                </c:pt>
                <c:pt idx="150">
                  <c:v>18.390471303577407</c:v>
                </c:pt>
                <c:pt idx="151">
                  <c:v>10.01504223852551</c:v>
                </c:pt>
                <c:pt idx="152">
                  <c:v>16.378230765763274</c:v>
                </c:pt>
                <c:pt idx="153">
                  <c:v>18.226059567818986</c:v>
                </c:pt>
                <c:pt idx="154">
                  <c:v>15.521120208619578</c:v>
                </c:pt>
                <c:pt idx="155">
                  <c:v>5.3131143626897881</c:v>
                </c:pt>
                <c:pt idx="156">
                  <c:v>15.373774830610698</c:v>
                </c:pt>
                <c:pt idx="157">
                  <c:v>10.032901603941328</c:v>
                </c:pt>
                <c:pt idx="158">
                  <c:v>10.368870447250295</c:v>
                </c:pt>
                <c:pt idx="159">
                  <c:v>12.406277276064976</c:v>
                </c:pt>
                <c:pt idx="160">
                  <c:v>14.226423255329919</c:v>
                </c:pt>
                <c:pt idx="161">
                  <c:v>13.550512478332799</c:v>
                </c:pt>
                <c:pt idx="162">
                  <c:v>14.962552322514773</c:v>
                </c:pt>
                <c:pt idx="163">
                  <c:v>17.363371854260677</c:v>
                </c:pt>
                <c:pt idx="164">
                  <c:v>11.084284798387852</c:v>
                </c:pt>
                <c:pt idx="165">
                  <c:v>14.231621583730391</c:v>
                </c:pt>
                <c:pt idx="166">
                  <c:v>10.81665788355733</c:v>
                </c:pt>
                <c:pt idx="167">
                  <c:v>13.38766583985292</c:v>
                </c:pt>
                <c:pt idx="168">
                  <c:v>17.192786877776829</c:v>
                </c:pt>
                <c:pt idx="169">
                  <c:v>17.975803530685578</c:v>
                </c:pt>
                <c:pt idx="170">
                  <c:v>7.4013210243057319</c:v>
                </c:pt>
                <c:pt idx="171">
                  <c:v>14.363878753224981</c:v>
                </c:pt>
                <c:pt idx="172">
                  <c:v>7.6081529880050693</c:v>
                </c:pt>
                <c:pt idx="173">
                  <c:v>11.992750262156147</c:v>
                </c:pt>
                <c:pt idx="174">
                  <c:v>13.772973853563704</c:v>
                </c:pt>
                <c:pt idx="175">
                  <c:v>24.795046369465211</c:v>
                </c:pt>
                <c:pt idx="176">
                  <c:v>19.99829905017862</c:v>
                </c:pt>
                <c:pt idx="177">
                  <c:v>12.176919493084652</c:v>
                </c:pt>
                <c:pt idx="178">
                  <c:v>16.042313230345659</c:v>
                </c:pt>
                <c:pt idx="179">
                  <c:v>12.40351542304013</c:v>
                </c:pt>
                <c:pt idx="180">
                  <c:v>10.610888670940094</c:v>
                </c:pt>
                <c:pt idx="181">
                  <c:v>13.951184950858135</c:v>
                </c:pt>
                <c:pt idx="182">
                  <c:v>6.5604140604254457</c:v>
                </c:pt>
                <c:pt idx="183">
                  <c:v>24.135413070864491</c:v>
                </c:pt>
                <c:pt idx="184">
                  <c:v>18.558392951388267</c:v>
                </c:pt>
                <c:pt idx="185">
                  <c:v>20.812098768130216</c:v>
                </c:pt>
                <c:pt idx="186">
                  <c:v>9.7079083237841459</c:v>
                </c:pt>
                <c:pt idx="187">
                  <c:v>17.09074469346896</c:v>
                </c:pt>
                <c:pt idx="188">
                  <c:v>18.678305549185243</c:v>
                </c:pt>
                <c:pt idx="189">
                  <c:v>6.0530588162491012</c:v>
                </c:pt>
                <c:pt idx="190">
                  <c:v>12.48713401746048</c:v>
                </c:pt>
                <c:pt idx="191">
                  <c:v>8.4370548714212017</c:v>
                </c:pt>
                <c:pt idx="192">
                  <c:v>4.4680262821431089</c:v>
                </c:pt>
                <c:pt idx="193">
                  <c:v>18.49822680257941</c:v>
                </c:pt>
                <c:pt idx="194">
                  <c:v>16.506513482169407</c:v>
                </c:pt>
                <c:pt idx="195">
                  <c:v>5.3798772939656976</c:v>
                </c:pt>
                <c:pt idx="196">
                  <c:v>8.1818397935169038</c:v>
                </c:pt>
                <c:pt idx="197">
                  <c:v>12.809735075018446</c:v>
                </c:pt>
                <c:pt idx="198">
                  <c:v>23.771319509241035</c:v>
                </c:pt>
                <c:pt idx="199">
                  <c:v>13.584073857167658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14-425F-9EA3-FE8CED0D5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123487"/>
        <c:axId val="1835127327"/>
      </c:scatterChart>
      <c:valAx>
        <c:axId val="1835123487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835127327"/>
        <c:crosses val="autoZero"/>
        <c:crossBetween val="midCat"/>
      </c:valAx>
      <c:valAx>
        <c:axId val="18351273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35123487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6.9198622965704389E-3"/>
          <c:y val="0.78104413162465991"/>
          <c:w val="0.99308013770342951"/>
          <c:h val="0.17993305693028744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Newspaper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advertising_Dataset!$D$2:$D$201</c:f>
              <c:numCache>
                <c:formatCode>General</c:formatCode>
                <c:ptCount val="200"/>
                <c:pt idx="0">
                  <c:v>69.2</c:v>
                </c:pt>
                <c:pt idx="1">
                  <c:v>45.1</c:v>
                </c:pt>
                <c:pt idx="2">
                  <c:v>69.3</c:v>
                </c:pt>
                <c:pt idx="3">
                  <c:v>58.5</c:v>
                </c:pt>
                <c:pt idx="4">
                  <c:v>58.4</c:v>
                </c:pt>
                <c:pt idx="5">
                  <c:v>75</c:v>
                </c:pt>
                <c:pt idx="6">
                  <c:v>23.5</c:v>
                </c:pt>
                <c:pt idx="7">
                  <c:v>11.6</c:v>
                </c:pt>
                <c:pt idx="8">
                  <c:v>1</c:v>
                </c:pt>
                <c:pt idx="9">
                  <c:v>21.2</c:v>
                </c:pt>
                <c:pt idx="10">
                  <c:v>24.2</c:v>
                </c:pt>
                <c:pt idx="11">
                  <c:v>4</c:v>
                </c:pt>
                <c:pt idx="12">
                  <c:v>65.900000000000006</c:v>
                </c:pt>
                <c:pt idx="13">
                  <c:v>7.2</c:v>
                </c:pt>
                <c:pt idx="14">
                  <c:v>46</c:v>
                </c:pt>
                <c:pt idx="15">
                  <c:v>52.9</c:v>
                </c:pt>
                <c:pt idx="16">
                  <c:v>114</c:v>
                </c:pt>
                <c:pt idx="17">
                  <c:v>55.8</c:v>
                </c:pt>
                <c:pt idx="18">
                  <c:v>18.3</c:v>
                </c:pt>
                <c:pt idx="19">
                  <c:v>19.100000000000001</c:v>
                </c:pt>
                <c:pt idx="20">
                  <c:v>53.4</c:v>
                </c:pt>
                <c:pt idx="21">
                  <c:v>23.5</c:v>
                </c:pt>
                <c:pt idx="22">
                  <c:v>49.6</c:v>
                </c:pt>
                <c:pt idx="23">
                  <c:v>26.2</c:v>
                </c:pt>
                <c:pt idx="24">
                  <c:v>18.3</c:v>
                </c:pt>
                <c:pt idx="25">
                  <c:v>19.5</c:v>
                </c:pt>
                <c:pt idx="26">
                  <c:v>12.6</c:v>
                </c:pt>
                <c:pt idx="27">
                  <c:v>22.9</c:v>
                </c:pt>
                <c:pt idx="28">
                  <c:v>22.9</c:v>
                </c:pt>
                <c:pt idx="29">
                  <c:v>40.799999999999997</c:v>
                </c:pt>
                <c:pt idx="30">
                  <c:v>43.2</c:v>
                </c:pt>
                <c:pt idx="31">
                  <c:v>38.6</c:v>
                </c:pt>
                <c:pt idx="32">
                  <c:v>30</c:v>
                </c:pt>
                <c:pt idx="33">
                  <c:v>0.3</c:v>
                </c:pt>
                <c:pt idx="34">
                  <c:v>7.4</c:v>
                </c:pt>
                <c:pt idx="35">
                  <c:v>8.5</c:v>
                </c:pt>
                <c:pt idx="36">
                  <c:v>5</c:v>
                </c:pt>
                <c:pt idx="37">
                  <c:v>45.7</c:v>
                </c:pt>
                <c:pt idx="38">
                  <c:v>35.1</c:v>
                </c:pt>
                <c:pt idx="39">
                  <c:v>32</c:v>
                </c:pt>
                <c:pt idx="40">
                  <c:v>31.6</c:v>
                </c:pt>
                <c:pt idx="41">
                  <c:v>38.700000000000003</c:v>
                </c:pt>
                <c:pt idx="42">
                  <c:v>1.8</c:v>
                </c:pt>
                <c:pt idx="43">
                  <c:v>26.4</c:v>
                </c:pt>
                <c:pt idx="44">
                  <c:v>43.3</c:v>
                </c:pt>
                <c:pt idx="45">
                  <c:v>31.5</c:v>
                </c:pt>
                <c:pt idx="46">
                  <c:v>35.700000000000003</c:v>
                </c:pt>
                <c:pt idx="47">
                  <c:v>18.5</c:v>
                </c:pt>
                <c:pt idx="48">
                  <c:v>49.9</c:v>
                </c:pt>
                <c:pt idx="49">
                  <c:v>36.799999999999997</c:v>
                </c:pt>
                <c:pt idx="50">
                  <c:v>34.6</c:v>
                </c:pt>
                <c:pt idx="51">
                  <c:v>3.6</c:v>
                </c:pt>
                <c:pt idx="52">
                  <c:v>39.6</c:v>
                </c:pt>
                <c:pt idx="53">
                  <c:v>58.7</c:v>
                </c:pt>
                <c:pt idx="54">
                  <c:v>15.9</c:v>
                </c:pt>
                <c:pt idx="55">
                  <c:v>60</c:v>
                </c:pt>
                <c:pt idx="56">
                  <c:v>41.4</c:v>
                </c:pt>
                <c:pt idx="57">
                  <c:v>16.600000000000001</c:v>
                </c:pt>
                <c:pt idx="58">
                  <c:v>37.700000000000003</c:v>
                </c:pt>
                <c:pt idx="59">
                  <c:v>9.3000000000000007</c:v>
                </c:pt>
                <c:pt idx="60">
                  <c:v>21.4</c:v>
                </c:pt>
                <c:pt idx="61">
                  <c:v>54.7</c:v>
                </c:pt>
                <c:pt idx="62">
                  <c:v>27.3</c:v>
                </c:pt>
                <c:pt idx="63">
                  <c:v>8.4</c:v>
                </c:pt>
                <c:pt idx="64">
                  <c:v>28.9</c:v>
                </c:pt>
                <c:pt idx="65">
                  <c:v>0.9</c:v>
                </c:pt>
                <c:pt idx="66">
                  <c:v>2.2000000000000002</c:v>
                </c:pt>
                <c:pt idx="67">
                  <c:v>10.199999999999999</c:v>
                </c:pt>
                <c:pt idx="68">
                  <c:v>11</c:v>
                </c:pt>
                <c:pt idx="69">
                  <c:v>27.2</c:v>
                </c:pt>
                <c:pt idx="70">
                  <c:v>38.700000000000003</c:v>
                </c:pt>
                <c:pt idx="71">
                  <c:v>31.7</c:v>
                </c:pt>
                <c:pt idx="72">
                  <c:v>19.3</c:v>
                </c:pt>
                <c:pt idx="73">
                  <c:v>31.3</c:v>
                </c:pt>
                <c:pt idx="74">
                  <c:v>13.1</c:v>
                </c:pt>
                <c:pt idx="75">
                  <c:v>89.4</c:v>
                </c:pt>
                <c:pt idx="76">
                  <c:v>20.7</c:v>
                </c:pt>
                <c:pt idx="77">
                  <c:v>14.2</c:v>
                </c:pt>
                <c:pt idx="78">
                  <c:v>9.4</c:v>
                </c:pt>
                <c:pt idx="79">
                  <c:v>23.1</c:v>
                </c:pt>
                <c:pt idx="80">
                  <c:v>22.3</c:v>
                </c:pt>
                <c:pt idx="81">
                  <c:v>36.9</c:v>
                </c:pt>
                <c:pt idx="82">
                  <c:v>32.5</c:v>
                </c:pt>
                <c:pt idx="83">
                  <c:v>35.6</c:v>
                </c:pt>
                <c:pt idx="84">
                  <c:v>33.799999999999997</c:v>
                </c:pt>
                <c:pt idx="85">
                  <c:v>65.7</c:v>
                </c:pt>
                <c:pt idx="86">
                  <c:v>16</c:v>
                </c:pt>
                <c:pt idx="87">
                  <c:v>63.2</c:v>
                </c:pt>
                <c:pt idx="88">
                  <c:v>73.400000000000006</c:v>
                </c:pt>
                <c:pt idx="89">
                  <c:v>51.4</c:v>
                </c:pt>
                <c:pt idx="90">
                  <c:v>9.3000000000000007</c:v>
                </c:pt>
                <c:pt idx="91">
                  <c:v>33</c:v>
                </c:pt>
                <c:pt idx="92">
                  <c:v>59</c:v>
                </c:pt>
                <c:pt idx="93">
                  <c:v>72.3</c:v>
                </c:pt>
                <c:pt idx="94">
                  <c:v>10.9</c:v>
                </c:pt>
                <c:pt idx="95">
                  <c:v>52.9</c:v>
                </c:pt>
                <c:pt idx="96">
                  <c:v>5.9</c:v>
                </c:pt>
                <c:pt idx="97">
                  <c:v>22</c:v>
                </c:pt>
                <c:pt idx="98">
                  <c:v>51.2</c:v>
                </c:pt>
                <c:pt idx="99">
                  <c:v>45.9</c:v>
                </c:pt>
                <c:pt idx="100">
                  <c:v>49.8</c:v>
                </c:pt>
                <c:pt idx="101">
                  <c:v>100.9</c:v>
                </c:pt>
                <c:pt idx="102">
                  <c:v>21.4</c:v>
                </c:pt>
                <c:pt idx="103">
                  <c:v>17.899999999999999</c:v>
                </c:pt>
                <c:pt idx="104">
                  <c:v>5.3</c:v>
                </c:pt>
                <c:pt idx="105">
                  <c:v>59</c:v>
                </c:pt>
                <c:pt idx="106">
                  <c:v>29.7</c:v>
                </c:pt>
                <c:pt idx="107">
                  <c:v>23.2</c:v>
                </c:pt>
                <c:pt idx="108">
                  <c:v>25.6</c:v>
                </c:pt>
                <c:pt idx="109">
                  <c:v>5.5</c:v>
                </c:pt>
                <c:pt idx="110">
                  <c:v>56.5</c:v>
                </c:pt>
                <c:pt idx="111">
                  <c:v>23.2</c:v>
                </c:pt>
                <c:pt idx="112">
                  <c:v>2.4</c:v>
                </c:pt>
                <c:pt idx="113">
                  <c:v>10.7</c:v>
                </c:pt>
                <c:pt idx="114">
                  <c:v>34.5</c:v>
                </c:pt>
                <c:pt idx="115">
                  <c:v>52.7</c:v>
                </c:pt>
                <c:pt idx="116">
                  <c:v>25.6</c:v>
                </c:pt>
                <c:pt idx="117">
                  <c:v>14.8</c:v>
                </c:pt>
                <c:pt idx="118">
                  <c:v>79.2</c:v>
                </c:pt>
                <c:pt idx="119">
                  <c:v>22.3</c:v>
                </c:pt>
                <c:pt idx="120">
                  <c:v>46.2</c:v>
                </c:pt>
                <c:pt idx="121">
                  <c:v>50.4</c:v>
                </c:pt>
                <c:pt idx="122">
                  <c:v>15.6</c:v>
                </c:pt>
                <c:pt idx="123">
                  <c:v>12.4</c:v>
                </c:pt>
                <c:pt idx="124">
                  <c:v>74.2</c:v>
                </c:pt>
                <c:pt idx="125">
                  <c:v>25.9</c:v>
                </c:pt>
                <c:pt idx="126">
                  <c:v>50.6</c:v>
                </c:pt>
                <c:pt idx="127">
                  <c:v>9.1999999999999993</c:v>
                </c:pt>
                <c:pt idx="128">
                  <c:v>3.2</c:v>
                </c:pt>
                <c:pt idx="129">
                  <c:v>43.1</c:v>
                </c:pt>
                <c:pt idx="130">
                  <c:v>8.6999999999999993</c:v>
                </c:pt>
                <c:pt idx="131">
                  <c:v>43</c:v>
                </c:pt>
                <c:pt idx="132">
                  <c:v>2.1</c:v>
                </c:pt>
                <c:pt idx="133">
                  <c:v>45.1</c:v>
                </c:pt>
                <c:pt idx="134">
                  <c:v>65.599999999999994</c:v>
                </c:pt>
                <c:pt idx="135">
                  <c:v>8.5</c:v>
                </c:pt>
                <c:pt idx="136">
                  <c:v>9.3000000000000007</c:v>
                </c:pt>
                <c:pt idx="137">
                  <c:v>59.7</c:v>
                </c:pt>
                <c:pt idx="138">
                  <c:v>20.5</c:v>
                </c:pt>
                <c:pt idx="139">
                  <c:v>1.7</c:v>
                </c:pt>
                <c:pt idx="140">
                  <c:v>12.9</c:v>
                </c:pt>
                <c:pt idx="141">
                  <c:v>75.599999999999994</c:v>
                </c:pt>
                <c:pt idx="142">
                  <c:v>37.9</c:v>
                </c:pt>
                <c:pt idx="143">
                  <c:v>34.4</c:v>
                </c:pt>
                <c:pt idx="144">
                  <c:v>38.9</c:v>
                </c:pt>
                <c:pt idx="145">
                  <c:v>9</c:v>
                </c:pt>
                <c:pt idx="146">
                  <c:v>8.6999999999999993</c:v>
                </c:pt>
                <c:pt idx="147">
                  <c:v>44.3</c:v>
                </c:pt>
                <c:pt idx="148">
                  <c:v>11.9</c:v>
                </c:pt>
                <c:pt idx="149">
                  <c:v>20.6</c:v>
                </c:pt>
                <c:pt idx="150">
                  <c:v>37</c:v>
                </c:pt>
                <c:pt idx="151">
                  <c:v>48.7</c:v>
                </c:pt>
                <c:pt idx="152">
                  <c:v>14.2</c:v>
                </c:pt>
                <c:pt idx="153">
                  <c:v>37.700000000000003</c:v>
                </c:pt>
                <c:pt idx="154">
                  <c:v>9.5</c:v>
                </c:pt>
                <c:pt idx="155">
                  <c:v>5.7</c:v>
                </c:pt>
                <c:pt idx="156">
                  <c:v>50.5</c:v>
                </c:pt>
                <c:pt idx="157">
                  <c:v>24.3</c:v>
                </c:pt>
                <c:pt idx="158">
                  <c:v>45.2</c:v>
                </c:pt>
                <c:pt idx="159">
                  <c:v>34.6</c:v>
                </c:pt>
                <c:pt idx="160">
                  <c:v>30.7</c:v>
                </c:pt>
                <c:pt idx="161">
                  <c:v>49.3</c:v>
                </c:pt>
                <c:pt idx="162">
                  <c:v>25.6</c:v>
                </c:pt>
                <c:pt idx="163">
                  <c:v>7.4</c:v>
                </c:pt>
                <c:pt idx="164">
                  <c:v>5.4</c:v>
                </c:pt>
                <c:pt idx="165">
                  <c:v>84.8</c:v>
                </c:pt>
                <c:pt idx="166">
                  <c:v>21.6</c:v>
                </c:pt>
                <c:pt idx="167">
                  <c:v>19.399999999999999</c:v>
                </c:pt>
                <c:pt idx="168">
                  <c:v>57.6</c:v>
                </c:pt>
                <c:pt idx="169">
                  <c:v>6.4</c:v>
                </c:pt>
                <c:pt idx="170">
                  <c:v>18.399999999999999</c:v>
                </c:pt>
                <c:pt idx="171">
                  <c:v>47.4</c:v>
                </c:pt>
                <c:pt idx="172">
                  <c:v>17</c:v>
                </c:pt>
                <c:pt idx="173">
                  <c:v>12.8</c:v>
                </c:pt>
                <c:pt idx="174">
                  <c:v>13.1</c:v>
                </c:pt>
                <c:pt idx="175">
                  <c:v>41.8</c:v>
                </c:pt>
                <c:pt idx="176">
                  <c:v>20.3</c:v>
                </c:pt>
                <c:pt idx="177">
                  <c:v>35.200000000000003</c:v>
                </c:pt>
                <c:pt idx="178">
                  <c:v>23.7</c:v>
                </c:pt>
                <c:pt idx="179">
                  <c:v>17.600000000000001</c:v>
                </c:pt>
                <c:pt idx="180">
                  <c:v>8.3000000000000007</c:v>
                </c:pt>
                <c:pt idx="181">
                  <c:v>27.4</c:v>
                </c:pt>
                <c:pt idx="182">
                  <c:v>29.7</c:v>
                </c:pt>
                <c:pt idx="183">
                  <c:v>71.8</c:v>
                </c:pt>
                <c:pt idx="184">
                  <c:v>30</c:v>
                </c:pt>
                <c:pt idx="185">
                  <c:v>19.600000000000001</c:v>
                </c:pt>
                <c:pt idx="186">
                  <c:v>26.6</c:v>
                </c:pt>
                <c:pt idx="187">
                  <c:v>18.2</c:v>
                </c:pt>
                <c:pt idx="188">
                  <c:v>3.7</c:v>
                </c:pt>
                <c:pt idx="189">
                  <c:v>23.4</c:v>
                </c:pt>
                <c:pt idx="190">
                  <c:v>5.8</c:v>
                </c:pt>
                <c:pt idx="191">
                  <c:v>6</c:v>
                </c:pt>
                <c:pt idx="192">
                  <c:v>31.6</c:v>
                </c:pt>
                <c:pt idx="193">
                  <c:v>3.6</c:v>
                </c:pt>
                <c:pt idx="194">
                  <c:v>6</c:v>
                </c:pt>
                <c:pt idx="195">
                  <c:v>13.8</c:v>
                </c:pt>
                <c:pt idx="196">
                  <c:v>8.1</c:v>
                </c:pt>
                <c:pt idx="197">
                  <c:v>6.4</c:v>
                </c:pt>
                <c:pt idx="198">
                  <c:v>66.2</c:v>
                </c:pt>
                <c:pt idx="199">
                  <c:v>8.6999999999999993</c:v>
                </c:pt>
              </c:numCache>
            </c:numRef>
          </c:xVal>
          <c:yVal>
            <c:numRef>
              <c:f>'Predicted Sales'!$C$27:$C$226</c:f>
              <c:numCache>
                <c:formatCode>General</c:formatCode>
                <c:ptCount val="200"/>
                <c:pt idx="0">
                  <c:v>1.5768048484641</c:v>
                </c:pt>
                <c:pt idx="1">
                  <c:v>-1.9249892262679555</c:v>
                </c:pt>
                <c:pt idx="2">
                  <c:v>-2.9821223132397439</c:v>
                </c:pt>
                <c:pt idx="3">
                  <c:v>0.90900021247677287</c:v>
                </c:pt>
                <c:pt idx="4">
                  <c:v>-0.29638807009605195</c:v>
                </c:pt>
                <c:pt idx="5">
                  <c:v>-5.2490546095451149</c:v>
                </c:pt>
                <c:pt idx="6">
                  <c:v>7.2712393245751628E-2</c:v>
                </c:pt>
                <c:pt idx="7">
                  <c:v>1.0645018053588284</c:v>
                </c:pt>
                <c:pt idx="8">
                  <c:v>1.0616147963194456</c:v>
                </c:pt>
                <c:pt idx="9">
                  <c:v>-1.9749871744508187</c:v>
                </c:pt>
                <c:pt idx="10">
                  <c:v>1.5593029891010808</c:v>
                </c:pt>
                <c:pt idx="11">
                  <c:v>9.204169804710105E-2</c:v>
                </c:pt>
                <c:pt idx="12">
                  <c:v>-1.3573685461024212</c:v>
                </c:pt>
                <c:pt idx="13">
                  <c:v>0.85758148915353694</c:v>
                </c:pt>
                <c:pt idx="14">
                  <c:v>0.56010551466534508</c:v>
                </c:pt>
                <c:pt idx="15">
                  <c:v>1.5837662777330301</c:v>
                </c:pt>
                <c:pt idx="16">
                  <c:v>-0.29309321898152874</c:v>
                </c:pt>
                <c:pt idx="17">
                  <c:v>1.1671778040775287</c:v>
                </c:pt>
                <c:pt idx="18">
                  <c:v>1.3433566033362965</c:v>
                </c:pt>
                <c:pt idx="19">
                  <c:v>0.42254459752724394</c:v>
                </c:pt>
                <c:pt idx="20">
                  <c:v>-0.10745222747296168</c:v>
                </c:pt>
                <c:pt idx="21">
                  <c:v>-2.2668554943815789</c:v>
                </c:pt>
                <c:pt idx="22">
                  <c:v>-0.88056813235862741</c:v>
                </c:pt>
                <c:pt idx="23">
                  <c:v>-1.0660355503913301</c:v>
                </c:pt>
                <c:pt idx="24">
                  <c:v>1.5462352671429684</c:v>
                </c:pt>
                <c:pt idx="25">
                  <c:v>-3.6407815376697545</c:v>
                </c:pt>
                <c:pt idx="26">
                  <c:v>-3.9673566599773835E-4</c:v>
                </c:pt>
                <c:pt idx="27">
                  <c:v>-1.1740632690149422</c:v>
                </c:pt>
                <c:pt idx="28">
                  <c:v>-0.52988133674693216</c:v>
                </c:pt>
                <c:pt idx="29">
                  <c:v>1.3560582565852997</c:v>
                </c:pt>
                <c:pt idx="30">
                  <c:v>-0.25109927622408534</c:v>
                </c:pt>
                <c:pt idx="31">
                  <c:v>0.54953846716049704</c:v>
                </c:pt>
                <c:pt idx="32">
                  <c:v>1.9497022612704393</c:v>
                </c:pt>
                <c:pt idx="33">
                  <c:v>-1.4949247157281143</c:v>
                </c:pt>
                <c:pt idx="34">
                  <c:v>1.9069516869242493</c:v>
                </c:pt>
                <c:pt idx="35">
                  <c:v>-4.2435398692921673</c:v>
                </c:pt>
                <c:pt idx="36">
                  <c:v>1.9737483311155088</c:v>
                </c:pt>
                <c:pt idx="37">
                  <c:v>-0.90968441048577908</c:v>
                </c:pt>
                <c:pt idx="38">
                  <c:v>0.19650186069720732</c:v>
                </c:pt>
                <c:pt idx="39">
                  <c:v>1.0419575290620919</c:v>
                </c:pt>
                <c:pt idx="40">
                  <c:v>0.20855421194074353</c:v>
                </c:pt>
                <c:pt idx="41">
                  <c:v>-0.20079773249515753</c:v>
                </c:pt>
                <c:pt idx="42">
                  <c:v>-0.92593986018309948</c:v>
                </c:pt>
                <c:pt idx="43">
                  <c:v>-1.0849333741168419</c:v>
                </c:pt>
                <c:pt idx="44">
                  <c:v>-0.37873242541727592</c:v>
                </c:pt>
                <c:pt idx="45">
                  <c:v>-0.27246957466265798</c:v>
                </c:pt>
                <c:pt idx="46">
                  <c:v>1.7208831839211616</c:v>
                </c:pt>
                <c:pt idx="47">
                  <c:v>1.4630307561782701</c:v>
                </c:pt>
                <c:pt idx="48">
                  <c:v>-1.476771926112594</c:v>
                </c:pt>
                <c:pt idx="49">
                  <c:v>1.5294429556812243</c:v>
                </c:pt>
                <c:pt idx="50">
                  <c:v>-1.2510588351892835</c:v>
                </c:pt>
                <c:pt idx="51">
                  <c:v>1.3434279621674481</c:v>
                </c:pt>
                <c:pt idx="52">
                  <c:v>1.9316121895224114</c:v>
                </c:pt>
                <c:pt idx="53">
                  <c:v>1.2608777146524552</c:v>
                </c:pt>
                <c:pt idx="54">
                  <c:v>-0.19668858500241981</c:v>
                </c:pt>
                <c:pt idx="55">
                  <c:v>2.4129150132617028</c:v>
                </c:pt>
                <c:pt idx="56">
                  <c:v>-3.0164269042294958</c:v>
                </c:pt>
                <c:pt idx="57">
                  <c:v>0.41261725851198428</c:v>
                </c:pt>
                <c:pt idx="58">
                  <c:v>1.8995114060694753</c:v>
                </c:pt>
                <c:pt idx="59">
                  <c:v>0.24779311888917377</c:v>
                </c:pt>
                <c:pt idx="60">
                  <c:v>2.3484355357671962</c:v>
                </c:pt>
                <c:pt idx="61">
                  <c:v>1.3043447243958255</c:v>
                </c:pt>
                <c:pt idx="62">
                  <c:v>-1.1056759503744935</c:v>
                </c:pt>
                <c:pt idx="63">
                  <c:v>0.78134617535521222</c:v>
                </c:pt>
                <c:pt idx="64">
                  <c:v>1.0226774117374831</c:v>
                </c:pt>
                <c:pt idx="65">
                  <c:v>1.436452593703871</c:v>
                </c:pt>
                <c:pt idx="66">
                  <c:v>0.47946721562840722</c:v>
                </c:pt>
                <c:pt idx="67">
                  <c:v>1.3461461562741679</c:v>
                </c:pt>
                <c:pt idx="68">
                  <c:v>-9.825336622382963E-2</c:v>
                </c:pt>
                <c:pt idx="69">
                  <c:v>1.1826707096743334</c:v>
                </c:pt>
                <c:pt idx="70">
                  <c:v>0.51237889267097003</c:v>
                </c:pt>
                <c:pt idx="71">
                  <c:v>1.7657245454317465</c:v>
                </c:pt>
                <c:pt idx="72">
                  <c:v>-1.5624608579740933</c:v>
                </c:pt>
                <c:pt idx="73">
                  <c:v>1.0843109620284679</c:v>
                </c:pt>
                <c:pt idx="74">
                  <c:v>-0.34899625579869564</c:v>
                </c:pt>
                <c:pt idx="75">
                  <c:v>-3.127421727569109</c:v>
                </c:pt>
                <c:pt idx="76">
                  <c:v>2.4152836921202407</c:v>
                </c:pt>
                <c:pt idx="77">
                  <c:v>0.37968322508054975</c:v>
                </c:pt>
                <c:pt idx="78">
                  <c:v>-3.5109494060026103</c:v>
                </c:pt>
                <c:pt idx="79">
                  <c:v>1.3116001256603553</c:v>
                </c:pt>
                <c:pt idx="80">
                  <c:v>0.351950668261658</c:v>
                </c:pt>
                <c:pt idx="81">
                  <c:v>-2.3707787874854205</c:v>
                </c:pt>
                <c:pt idx="82">
                  <c:v>1.1202807686819582</c:v>
                </c:pt>
                <c:pt idx="83">
                  <c:v>-0.81235175802687998</c:v>
                </c:pt>
                <c:pt idx="84">
                  <c:v>0.91223452950124084</c:v>
                </c:pt>
                <c:pt idx="85">
                  <c:v>1.4721629197776309E-2</c:v>
                </c:pt>
                <c:pt idx="86">
                  <c:v>0.39755107889090091</c:v>
                </c:pt>
                <c:pt idx="87">
                  <c:v>0.4183729866577437</c:v>
                </c:pt>
                <c:pt idx="88">
                  <c:v>1.2005802790307918</c:v>
                </c:pt>
                <c:pt idx="89">
                  <c:v>-0.21089549313501266</c:v>
                </c:pt>
                <c:pt idx="90">
                  <c:v>1.1805275554684673</c:v>
                </c:pt>
                <c:pt idx="91">
                  <c:v>2.8001721097590755</c:v>
                </c:pt>
                <c:pt idx="92">
                  <c:v>0.24089738887874645</c:v>
                </c:pt>
                <c:pt idx="93">
                  <c:v>0.9715451746586119</c:v>
                </c:pt>
                <c:pt idx="94">
                  <c:v>1.0043026532370796</c:v>
                </c:pt>
                <c:pt idx="95">
                  <c:v>0.58532536486532294</c:v>
                </c:pt>
                <c:pt idx="96">
                  <c:v>-0.96397482964400361</c:v>
                </c:pt>
                <c:pt idx="97">
                  <c:v>0.14750276285342601</c:v>
                </c:pt>
                <c:pt idx="98">
                  <c:v>1.2722954602753767</c:v>
                </c:pt>
                <c:pt idx="99">
                  <c:v>0.26443330556267597</c:v>
                </c:pt>
                <c:pt idx="100">
                  <c:v>-2.193000303187727</c:v>
                </c:pt>
                <c:pt idx="101">
                  <c:v>0.56067878402025428</c:v>
                </c:pt>
                <c:pt idx="102">
                  <c:v>-2.8735210343824704</c:v>
                </c:pt>
                <c:pt idx="103">
                  <c:v>-8.0628124570974791E-2</c:v>
                </c:pt>
                <c:pt idx="104">
                  <c:v>0.37796192467611434</c:v>
                </c:pt>
                <c:pt idx="105">
                  <c:v>1.2738810974706318</c:v>
                </c:pt>
                <c:pt idx="106">
                  <c:v>1.0734143054412115</c:v>
                </c:pt>
                <c:pt idx="107">
                  <c:v>1.5782399633958502</c:v>
                </c:pt>
                <c:pt idx="108">
                  <c:v>1.7081266450570425</c:v>
                </c:pt>
                <c:pt idx="109">
                  <c:v>8.1651709592662769E-2</c:v>
                </c:pt>
                <c:pt idx="110">
                  <c:v>-1.3737365690592629</c:v>
                </c:pt>
                <c:pt idx="111">
                  <c:v>0.64531776133812002</c:v>
                </c:pt>
                <c:pt idx="112">
                  <c:v>0.19679024333962225</c:v>
                </c:pt>
                <c:pt idx="113">
                  <c:v>-0.5253207177896666</c:v>
                </c:pt>
                <c:pt idx="114">
                  <c:v>-0.69607041017202143</c:v>
                </c:pt>
                <c:pt idx="115">
                  <c:v>-0.30923823757387936</c:v>
                </c:pt>
                <c:pt idx="116">
                  <c:v>0.20905468772079061</c:v>
                </c:pt>
                <c:pt idx="117">
                  <c:v>2.815008148599448</c:v>
                </c:pt>
                <c:pt idx="118">
                  <c:v>0.34803585164737072</c:v>
                </c:pt>
                <c:pt idx="119">
                  <c:v>-0.22043575689631378</c:v>
                </c:pt>
                <c:pt idx="120">
                  <c:v>1.0885144747084823</c:v>
                </c:pt>
                <c:pt idx="121">
                  <c:v>-0.82762650272958993</c:v>
                </c:pt>
                <c:pt idx="122">
                  <c:v>-2.0548492648653411</c:v>
                </c:pt>
                <c:pt idx="123">
                  <c:v>0.1102852852940206</c:v>
                </c:pt>
                <c:pt idx="124">
                  <c:v>0.24587825792015039</c:v>
                </c:pt>
                <c:pt idx="125">
                  <c:v>1.4648933771815678</c:v>
                </c:pt>
                <c:pt idx="126">
                  <c:v>-3.9590396211247274</c:v>
                </c:pt>
                <c:pt idx="127">
                  <c:v>2.1837129535236324</c:v>
                </c:pt>
                <c:pt idx="128">
                  <c:v>2.4303168578435148</c:v>
                </c:pt>
                <c:pt idx="129">
                  <c:v>1.816287233333715</c:v>
                </c:pt>
                <c:pt idx="130">
                  <c:v>-8.8213911178814346</c:v>
                </c:pt>
                <c:pt idx="131">
                  <c:v>-2.9018085480873346</c:v>
                </c:pt>
                <c:pt idx="132">
                  <c:v>-2.7503469293701057</c:v>
                </c:pt>
                <c:pt idx="133">
                  <c:v>0.32590172941680962</c:v>
                </c:pt>
                <c:pt idx="134">
                  <c:v>-1.0171539211480187</c:v>
                </c:pt>
                <c:pt idx="135">
                  <c:v>-2.397227397594742</c:v>
                </c:pt>
                <c:pt idx="136">
                  <c:v>-1.9497686189392081</c:v>
                </c:pt>
                <c:pt idx="137">
                  <c:v>-6.1184956925693257E-2</c:v>
                </c:pt>
                <c:pt idx="138">
                  <c:v>-0.16800658418277692</c:v>
                </c:pt>
                <c:pt idx="139">
                  <c:v>1.0115488231383303</c:v>
                </c:pt>
                <c:pt idx="140">
                  <c:v>1.4019937071767234</c:v>
                </c:pt>
                <c:pt idx="141">
                  <c:v>0.80650758308640036</c:v>
                </c:pt>
                <c:pt idx="142">
                  <c:v>0.84056683253525577</c:v>
                </c:pt>
                <c:pt idx="143">
                  <c:v>1.6259642994451191</c:v>
                </c:pt>
                <c:pt idx="144">
                  <c:v>1.3051063714518811</c:v>
                </c:pt>
                <c:pt idx="145">
                  <c:v>0.56938145960103448</c:v>
                </c:pt>
                <c:pt idx="146">
                  <c:v>-2.1245144780759073</c:v>
                </c:pt>
                <c:pt idx="147">
                  <c:v>2.1351970927746002</c:v>
                </c:pt>
                <c:pt idx="148">
                  <c:v>-1.3596168157068895</c:v>
                </c:pt>
                <c:pt idx="149">
                  <c:v>0.27296998836086672</c:v>
                </c:pt>
                <c:pt idx="150">
                  <c:v>-2.2904713035774051</c:v>
                </c:pt>
                <c:pt idx="151">
                  <c:v>1.5849577614744899</c:v>
                </c:pt>
                <c:pt idx="152">
                  <c:v>0.2217692342367279</c:v>
                </c:pt>
                <c:pt idx="153">
                  <c:v>0.77394043218101416</c:v>
                </c:pt>
                <c:pt idx="154">
                  <c:v>7.8879791380421338E-2</c:v>
                </c:pt>
                <c:pt idx="155">
                  <c:v>-2.1131143626897879</c:v>
                </c:pt>
                <c:pt idx="156">
                  <c:v>-7.3774830610696895E-2</c:v>
                </c:pt>
                <c:pt idx="157">
                  <c:v>6.7098396058671739E-2</c:v>
                </c:pt>
                <c:pt idx="158">
                  <c:v>-3.068870447250295</c:v>
                </c:pt>
                <c:pt idx="159">
                  <c:v>0.49372272393502392</c:v>
                </c:pt>
                <c:pt idx="160">
                  <c:v>0.17357674467008088</c:v>
                </c:pt>
                <c:pt idx="161">
                  <c:v>-0.25051247833279788</c:v>
                </c:pt>
                <c:pt idx="162">
                  <c:v>-6.2552322514772385E-2</c:v>
                </c:pt>
                <c:pt idx="163">
                  <c:v>0.6366281457393228</c:v>
                </c:pt>
                <c:pt idx="164">
                  <c:v>0.81571520161214828</c:v>
                </c:pt>
                <c:pt idx="165">
                  <c:v>-2.3316215837303904</c:v>
                </c:pt>
                <c:pt idx="166">
                  <c:v>-2.8166578835573297</c:v>
                </c:pt>
                <c:pt idx="167">
                  <c:v>-1.1876658398529205</c:v>
                </c:pt>
                <c:pt idx="168">
                  <c:v>-9.2786877776827481E-2</c:v>
                </c:pt>
                <c:pt idx="169">
                  <c:v>-2.9758035306855781</c:v>
                </c:pt>
                <c:pt idx="170">
                  <c:v>0.99867897569426844</c:v>
                </c:pt>
                <c:pt idx="171">
                  <c:v>0.13612124677501924</c:v>
                </c:pt>
                <c:pt idx="172">
                  <c:v>-8.1529880050696946E-3</c:v>
                </c:pt>
                <c:pt idx="173">
                  <c:v>-0.2927502621561473</c:v>
                </c:pt>
                <c:pt idx="174">
                  <c:v>-2.2729738535637036</c:v>
                </c:pt>
                <c:pt idx="175">
                  <c:v>2.2049536305347885</c:v>
                </c:pt>
                <c:pt idx="176">
                  <c:v>0.20170094982137954</c:v>
                </c:pt>
                <c:pt idx="177">
                  <c:v>-0.47691949308465276</c:v>
                </c:pt>
                <c:pt idx="178">
                  <c:v>-4.2423132303456583</c:v>
                </c:pt>
                <c:pt idx="179">
                  <c:v>0.19648457695986998</c:v>
                </c:pt>
                <c:pt idx="180">
                  <c:v>-0.1108886709400938</c:v>
                </c:pt>
                <c:pt idx="181">
                  <c:v>-1.7511849508581356</c:v>
                </c:pt>
                <c:pt idx="182">
                  <c:v>2.1395859395745536</c:v>
                </c:pt>
                <c:pt idx="183">
                  <c:v>2.0645869291355083</c:v>
                </c:pt>
                <c:pt idx="184">
                  <c:v>-0.95839295138826586</c:v>
                </c:pt>
                <c:pt idx="185">
                  <c:v>1.7879012318697853</c:v>
                </c:pt>
                <c:pt idx="186">
                  <c:v>0.59209167621585479</c:v>
                </c:pt>
                <c:pt idx="187">
                  <c:v>0.20925530653104119</c:v>
                </c:pt>
                <c:pt idx="188">
                  <c:v>-2.7783055491852426</c:v>
                </c:pt>
                <c:pt idx="189">
                  <c:v>0.64694118375089893</c:v>
                </c:pt>
                <c:pt idx="190">
                  <c:v>-1.6871340174604796</c:v>
                </c:pt>
                <c:pt idx="191">
                  <c:v>1.4629451285787987</c:v>
                </c:pt>
                <c:pt idx="192">
                  <c:v>1.4319737178568914</c:v>
                </c:pt>
                <c:pt idx="193">
                  <c:v>1.1017731974205915</c:v>
                </c:pt>
                <c:pt idx="194">
                  <c:v>0.7934865178305941</c:v>
                </c:pt>
                <c:pt idx="195">
                  <c:v>2.2201227060343021</c:v>
                </c:pt>
                <c:pt idx="196">
                  <c:v>1.5181602064830955</c:v>
                </c:pt>
                <c:pt idx="197">
                  <c:v>-9.7350750184457269E-3</c:v>
                </c:pt>
                <c:pt idx="198">
                  <c:v>1.7286804907589648</c:v>
                </c:pt>
                <c:pt idx="199">
                  <c:v>-0.18407385716765745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69-41CB-924D-1700FAABA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793711"/>
        <c:axId val="1851800911"/>
      </c:scatterChart>
      <c:valAx>
        <c:axId val="185179371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Newspaper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solidFill>
            <a:srgbClr val="FFFF00"/>
          </a:solidFill>
        </c:spPr>
        <c:crossAx val="1851800911"/>
        <c:crosses val="autoZero"/>
        <c:crossBetween val="midCat"/>
      </c:valAx>
      <c:valAx>
        <c:axId val="18518009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179371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Newspaper Line Fit  Plot</a:t>
            </a:r>
          </a:p>
        </c:rich>
      </c:tx>
      <c:layout>
        <c:manualLayout>
          <c:xMode val="edge"/>
          <c:yMode val="edge"/>
          <c:x val="0.2100859922523316"/>
          <c:y val="1.944601815982483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0366111421935523E-2"/>
          <c:y val="0.20792693196956008"/>
          <c:w val="0.88785803710582856"/>
          <c:h val="0.41092856012698609"/>
        </c:manualLayout>
      </c:layout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advertising_Dataset!$D$2:$D$201</c:f>
              <c:numCache>
                <c:formatCode>General</c:formatCode>
                <c:ptCount val="200"/>
                <c:pt idx="0">
                  <c:v>69.2</c:v>
                </c:pt>
                <c:pt idx="1">
                  <c:v>45.1</c:v>
                </c:pt>
                <c:pt idx="2">
                  <c:v>69.3</c:v>
                </c:pt>
                <c:pt idx="3">
                  <c:v>58.5</c:v>
                </c:pt>
                <c:pt idx="4">
                  <c:v>58.4</c:v>
                </c:pt>
                <c:pt idx="5">
                  <c:v>75</c:v>
                </c:pt>
                <c:pt idx="6">
                  <c:v>23.5</c:v>
                </c:pt>
                <c:pt idx="7">
                  <c:v>11.6</c:v>
                </c:pt>
                <c:pt idx="8">
                  <c:v>1</c:v>
                </c:pt>
                <c:pt idx="9">
                  <c:v>21.2</c:v>
                </c:pt>
                <c:pt idx="10">
                  <c:v>24.2</c:v>
                </c:pt>
                <c:pt idx="11">
                  <c:v>4</c:v>
                </c:pt>
                <c:pt idx="12">
                  <c:v>65.900000000000006</c:v>
                </c:pt>
                <c:pt idx="13">
                  <c:v>7.2</c:v>
                </c:pt>
                <c:pt idx="14">
                  <c:v>46</c:v>
                </c:pt>
                <c:pt idx="15">
                  <c:v>52.9</c:v>
                </c:pt>
                <c:pt idx="16">
                  <c:v>114</c:v>
                </c:pt>
                <c:pt idx="17">
                  <c:v>55.8</c:v>
                </c:pt>
                <c:pt idx="18">
                  <c:v>18.3</c:v>
                </c:pt>
                <c:pt idx="19">
                  <c:v>19.100000000000001</c:v>
                </c:pt>
                <c:pt idx="20">
                  <c:v>53.4</c:v>
                </c:pt>
                <c:pt idx="21">
                  <c:v>23.5</c:v>
                </c:pt>
                <c:pt idx="22">
                  <c:v>49.6</c:v>
                </c:pt>
                <c:pt idx="23">
                  <c:v>26.2</c:v>
                </c:pt>
                <c:pt idx="24">
                  <c:v>18.3</c:v>
                </c:pt>
                <c:pt idx="25">
                  <c:v>19.5</c:v>
                </c:pt>
                <c:pt idx="26">
                  <c:v>12.6</c:v>
                </c:pt>
                <c:pt idx="27">
                  <c:v>22.9</c:v>
                </c:pt>
                <c:pt idx="28">
                  <c:v>22.9</c:v>
                </c:pt>
                <c:pt idx="29">
                  <c:v>40.799999999999997</c:v>
                </c:pt>
                <c:pt idx="30">
                  <c:v>43.2</c:v>
                </c:pt>
                <c:pt idx="31">
                  <c:v>38.6</c:v>
                </c:pt>
                <c:pt idx="32">
                  <c:v>30</c:v>
                </c:pt>
                <c:pt idx="33">
                  <c:v>0.3</c:v>
                </c:pt>
                <c:pt idx="34">
                  <c:v>7.4</c:v>
                </c:pt>
                <c:pt idx="35">
                  <c:v>8.5</c:v>
                </c:pt>
                <c:pt idx="36">
                  <c:v>5</c:v>
                </c:pt>
                <c:pt idx="37">
                  <c:v>45.7</c:v>
                </c:pt>
                <c:pt idx="38">
                  <c:v>35.1</c:v>
                </c:pt>
                <c:pt idx="39">
                  <c:v>32</c:v>
                </c:pt>
                <c:pt idx="40">
                  <c:v>31.6</c:v>
                </c:pt>
                <c:pt idx="41">
                  <c:v>38.700000000000003</c:v>
                </c:pt>
                <c:pt idx="42">
                  <c:v>1.8</c:v>
                </c:pt>
                <c:pt idx="43">
                  <c:v>26.4</c:v>
                </c:pt>
                <c:pt idx="44">
                  <c:v>43.3</c:v>
                </c:pt>
                <c:pt idx="45">
                  <c:v>31.5</c:v>
                </c:pt>
                <c:pt idx="46">
                  <c:v>35.700000000000003</c:v>
                </c:pt>
                <c:pt idx="47">
                  <c:v>18.5</c:v>
                </c:pt>
                <c:pt idx="48">
                  <c:v>49.9</c:v>
                </c:pt>
                <c:pt idx="49">
                  <c:v>36.799999999999997</c:v>
                </c:pt>
                <c:pt idx="50">
                  <c:v>34.6</c:v>
                </c:pt>
                <c:pt idx="51">
                  <c:v>3.6</c:v>
                </c:pt>
                <c:pt idx="52">
                  <c:v>39.6</c:v>
                </c:pt>
                <c:pt idx="53">
                  <c:v>58.7</c:v>
                </c:pt>
                <c:pt idx="54">
                  <c:v>15.9</c:v>
                </c:pt>
                <c:pt idx="55">
                  <c:v>60</c:v>
                </c:pt>
                <c:pt idx="56">
                  <c:v>41.4</c:v>
                </c:pt>
                <c:pt idx="57">
                  <c:v>16.600000000000001</c:v>
                </c:pt>
                <c:pt idx="58">
                  <c:v>37.700000000000003</c:v>
                </c:pt>
                <c:pt idx="59">
                  <c:v>9.3000000000000007</c:v>
                </c:pt>
                <c:pt idx="60">
                  <c:v>21.4</c:v>
                </c:pt>
                <c:pt idx="61">
                  <c:v>54.7</c:v>
                </c:pt>
                <c:pt idx="62">
                  <c:v>27.3</c:v>
                </c:pt>
                <c:pt idx="63">
                  <c:v>8.4</c:v>
                </c:pt>
                <c:pt idx="64">
                  <c:v>28.9</c:v>
                </c:pt>
                <c:pt idx="65">
                  <c:v>0.9</c:v>
                </c:pt>
                <c:pt idx="66">
                  <c:v>2.2000000000000002</c:v>
                </c:pt>
                <c:pt idx="67">
                  <c:v>10.199999999999999</c:v>
                </c:pt>
                <c:pt idx="68">
                  <c:v>11</c:v>
                </c:pt>
                <c:pt idx="69">
                  <c:v>27.2</c:v>
                </c:pt>
                <c:pt idx="70">
                  <c:v>38.700000000000003</c:v>
                </c:pt>
                <c:pt idx="71">
                  <c:v>31.7</c:v>
                </c:pt>
                <c:pt idx="72">
                  <c:v>19.3</c:v>
                </c:pt>
                <c:pt idx="73">
                  <c:v>31.3</c:v>
                </c:pt>
                <c:pt idx="74">
                  <c:v>13.1</c:v>
                </c:pt>
                <c:pt idx="75">
                  <c:v>89.4</c:v>
                </c:pt>
                <c:pt idx="76">
                  <c:v>20.7</c:v>
                </c:pt>
                <c:pt idx="77">
                  <c:v>14.2</c:v>
                </c:pt>
                <c:pt idx="78">
                  <c:v>9.4</c:v>
                </c:pt>
                <c:pt idx="79">
                  <c:v>23.1</c:v>
                </c:pt>
                <c:pt idx="80">
                  <c:v>22.3</c:v>
                </c:pt>
                <c:pt idx="81">
                  <c:v>36.9</c:v>
                </c:pt>
                <c:pt idx="82">
                  <c:v>32.5</c:v>
                </c:pt>
                <c:pt idx="83">
                  <c:v>35.6</c:v>
                </c:pt>
                <c:pt idx="84">
                  <c:v>33.799999999999997</c:v>
                </c:pt>
                <c:pt idx="85">
                  <c:v>65.7</c:v>
                </c:pt>
                <c:pt idx="86">
                  <c:v>16</c:v>
                </c:pt>
                <c:pt idx="87">
                  <c:v>63.2</c:v>
                </c:pt>
                <c:pt idx="88">
                  <c:v>73.400000000000006</c:v>
                </c:pt>
                <c:pt idx="89">
                  <c:v>51.4</c:v>
                </c:pt>
                <c:pt idx="90">
                  <c:v>9.3000000000000007</c:v>
                </c:pt>
                <c:pt idx="91">
                  <c:v>33</c:v>
                </c:pt>
                <c:pt idx="92">
                  <c:v>59</c:v>
                </c:pt>
                <c:pt idx="93">
                  <c:v>72.3</c:v>
                </c:pt>
                <c:pt idx="94">
                  <c:v>10.9</c:v>
                </c:pt>
                <c:pt idx="95">
                  <c:v>52.9</c:v>
                </c:pt>
                <c:pt idx="96">
                  <c:v>5.9</c:v>
                </c:pt>
                <c:pt idx="97">
                  <c:v>22</c:v>
                </c:pt>
                <c:pt idx="98">
                  <c:v>51.2</c:v>
                </c:pt>
                <c:pt idx="99">
                  <c:v>45.9</c:v>
                </c:pt>
                <c:pt idx="100">
                  <c:v>49.8</c:v>
                </c:pt>
                <c:pt idx="101">
                  <c:v>100.9</c:v>
                </c:pt>
                <c:pt idx="102">
                  <c:v>21.4</c:v>
                </c:pt>
                <c:pt idx="103">
                  <c:v>17.899999999999999</c:v>
                </c:pt>
                <c:pt idx="104">
                  <c:v>5.3</c:v>
                </c:pt>
                <c:pt idx="105">
                  <c:v>59</c:v>
                </c:pt>
                <c:pt idx="106">
                  <c:v>29.7</c:v>
                </c:pt>
                <c:pt idx="107">
                  <c:v>23.2</c:v>
                </c:pt>
                <c:pt idx="108">
                  <c:v>25.6</c:v>
                </c:pt>
                <c:pt idx="109">
                  <c:v>5.5</c:v>
                </c:pt>
                <c:pt idx="110">
                  <c:v>56.5</c:v>
                </c:pt>
                <c:pt idx="111">
                  <c:v>23.2</c:v>
                </c:pt>
                <c:pt idx="112">
                  <c:v>2.4</c:v>
                </c:pt>
                <c:pt idx="113">
                  <c:v>10.7</c:v>
                </c:pt>
                <c:pt idx="114">
                  <c:v>34.5</c:v>
                </c:pt>
                <c:pt idx="115">
                  <c:v>52.7</c:v>
                </c:pt>
                <c:pt idx="116">
                  <c:v>25.6</c:v>
                </c:pt>
                <c:pt idx="117">
                  <c:v>14.8</c:v>
                </c:pt>
                <c:pt idx="118">
                  <c:v>79.2</c:v>
                </c:pt>
                <c:pt idx="119">
                  <c:v>22.3</c:v>
                </c:pt>
                <c:pt idx="120">
                  <c:v>46.2</c:v>
                </c:pt>
                <c:pt idx="121">
                  <c:v>50.4</c:v>
                </c:pt>
                <c:pt idx="122">
                  <c:v>15.6</c:v>
                </c:pt>
                <c:pt idx="123">
                  <c:v>12.4</c:v>
                </c:pt>
                <c:pt idx="124">
                  <c:v>74.2</c:v>
                </c:pt>
                <c:pt idx="125">
                  <c:v>25.9</c:v>
                </c:pt>
                <c:pt idx="126">
                  <c:v>50.6</c:v>
                </c:pt>
                <c:pt idx="127">
                  <c:v>9.1999999999999993</c:v>
                </c:pt>
                <c:pt idx="128">
                  <c:v>3.2</c:v>
                </c:pt>
                <c:pt idx="129">
                  <c:v>43.1</c:v>
                </c:pt>
                <c:pt idx="130">
                  <c:v>8.6999999999999993</c:v>
                </c:pt>
                <c:pt idx="131">
                  <c:v>43</c:v>
                </c:pt>
                <c:pt idx="132">
                  <c:v>2.1</c:v>
                </c:pt>
                <c:pt idx="133">
                  <c:v>45.1</c:v>
                </c:pt>
                <c:pt idx="134">
                  <c:v>65.599999999999994</c:v>
                </c:pt>
                <c:pt idx="135">
                  <c:v>8.5</c:v>
                </c:pt>
                <c:pt idx="136">
                  <c:v>9.3000000000000007</c:v>
                </c:pt>
                <c:pt idx="137">
                  <c:v>59.7</c:v>
                </c:pt>
                <c:pt idx="138">
                  <c:v>20.5</c:v>
                </c:pt>
                <c:pt idx="139">
                  <c:v>1.7</c:v>
                </c:pt>
                <c:pt idx="140">
                  <c:v>12.9</c:v>
                </c:pt>
                <c:pt idx="141">
                  <c:v>75.599999999999994</c:v>
                </c:pt>
                <c:pt idx="142">
                  <c:v>37.9</c:v>
                </c:pt>
                <c:pt idx="143">
                  <c:v>34.4</c:v>
                </c:pt>
                <c:pt idx="144">
                  <c:v>38.9</c:v>
                </c:pt>
                <c:pt idx="145">
                  <c:v>9</c:v>
                </c:pt>
                <c:pt idx="146">
                  <c:v>8.6999999999999993</c:v>
                </c:pt>
                <c:pt idx="147">
                  <c:v>44.3</c:v>
                </c:pt>
                <c:pt idx="148">
                  <c:v>11.9</c:v>
                </c:pt>
                <c:pt idx="149">
                  <c:v>20.6</c:v>
                </c:pt>
                <c:pt idx="150">
                  <c:v>37</c:v>
                </c:pt>
                <c:pt idx="151">
                  <c:v>48.7</c:v>
                </c:pt>
                <c:pt idx="152">
                  <c:v>14.2</c:v>
                </c:pt>
                <c:pt idx="153">
                  <c:v>37.700000000000003</c:v>
                </c:pt>
                <c:pt idx="154">
                  <c:v>9.5</c:v>
                </c:pt>
                <c:pt idx="155">
                  <c:v>5.7</c:v>
                </c:pt>
                <c:pt idx="156">
                  <c:v>50.5</c:v>
                </c:pt>
                <c:pt idx="157">
                  <c:v>24.3</c:v>
                </c:pt>
                <c:pt idx="158">
                  <c:v>45.2</c:v>
                </c:pt>
                <c:pt idx="159">
                  <c:v>34.6</c:v>
                </c:pt>
                <c:pt idx="160">
                  <c:v>30.7</c:v>
                </c:pt>
                <c:pt idx="161">
                  <c:v>49.3</c:v>
                </c:pt>
                <c:pt idx="162">
                  <c:v>25.6</c:v>
                </c:pt>
                <c:pt idx="163">
                  <c:v>7.4</c:v>
                </c:pt>
                <c:pt idx="164">
                  <c:v>5.4</c:v>
                </c:pt>
                <c:pt idx="165">
                  <c:v>84.8</c:v>
                </c:pt>
                <c:pt idx="166">
                  <c:v>21.6</c:v>
                </c:pt>
                <c:pt idx="167">
                  <c:v>19.399999999999999</c:v>
                </c:pt>
                <c:pt idx="168">
                  <c:v>57.6</c:v>
                </c:pt>
                <c:pt idx="169">
                  <c:v>6.4</c:v>
                </c:pt>
                <c:pt idx="170">
                  <c:v>18.399999999999999</c:v>
                </c:pt>
                <c:pt idx="171">
                  <c:v>47.4</c:v>
                </c:pt>
                <c:pt idx="172">
                  <c:v>17</c:v>
                </c:pt>
                <c:pt idx="173">
                  <c:v>12.8</c:v>
                </c:pt>
                <c:pt idx="174">
                  <c:v>13.1</c:v>
                </c:pt>
                <c:pt idx="175">
                  <c:v>41.8</c:v>
                </c:pt>
                <c:pt idx="176">
                  <c:v>20.3</c:v>
                </c:pt>
                <c:pt idx="177">
                  <c:v>35.200000000000003</c:v>
                </c:pt>
                <c:pt idx="178">
                  <c:v>23.7</c:v>
                </c:pt>
                <c:pt idx="179">
                  <c:v>17.600000000000001</c:v>
                </c:pt>
                <c:pt idx="180">
                  <c:v>8.3000000000000007</c:v>
                </c:pt>
                <c:pt idx="181">
                  <c:v>27.4</c:v>
                </c:pt>
                <c:pt idx="182">
                  <c:v>29.7</c:v>
                </c:pt>
                <c:pt idx="183">
                  <c:v>71.8</c:v>
                </c:pt>
                <c:pt idx="184">
                  <c:v>30</c:v>
                </c:pt>
                <c:pt idx="185">
                  <c:v>19.600000000000001</c:v>
                </c:pt>
                <c:pt idx="186">
                  <c:v>26.6</c:v>
                </c:pt>
                <c:pt idx="187">
                  <c:v>18.2</c:v>
                </c:pt>
                <c:pt idx="188">
                  <c:v>3.7</c:v>
                </c:pt>
                <c:pt idx="189">
                  <c:v>23.4</c:v>
                </c:pt>
                <c:pt idx="190">
                  <c:v>5.8</c:v>
                </c:pt>
                <c:pt idx="191">
                  <c:v>6</c:v>
                </c:pt>
                <c:pt idx="192">
                  <c:v>31.6</c:v>
                </c:pt>
                <c:pt idx="193">
                  <c:v>3.6</c:v>
                </c:pt>
                <c:pt idx="194">
                  <c:v>6</c:v>
                </c:pt>
                <c:pt idx="195">
                  <c:v>13.8</c:v>
                </c:pt>
                <c:pt idx="196">
                  <c:v>8.1</c:v>
                </c:pt>
                <c:pt idx="197">
                  <c:v>6.4</c:v>
                </c:pt>
                <c:pt idx="198">
                  <c:v>66.2</c:v>
                </c:pt>
                <c:pt idx="199">
                  <c:v>8.6999999999999993</c:v>
                </c:pt>
              </c:numCache>
            </c:numRef>
          </c:xVal>
          <c:yVal>
            <c:numRef>
              <c:f>advertising_Dataset!$E$2:$E$201</c:f>
              <c:numCache>
                <c:formatCode>General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73-4F8F-B930-A5010AFAD16A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advertising_Dataset!$D$2:$D$201</c:f>
              <c:numCache>
                <c:formatCode>General</c:formatCode>
                <c:ptCount val="200"/>
                <c:pt idx="0">
                  <c:v>69.2</c:v>
                </c:pt>
                <c:pt idx="1">
                  <c:v>45.1</c:v>
                </c:pt>
                <c:pt idx="2">
                  <c:v>69.3</c:v>
                </c:pt>
                <c:pt idx="3">
                  <c:v>58.5</c:v>
                </c:pt>
                <c:pt idx="4">
                  <c:v>58.4</c:v>
                </c:pt>
                <c:pt idx="5">
                  <c:v>75</c:v>
                </c:pt>
                <c:pt idx="6">
                  <c:v>23.5</c:v>
                </c:pt>
                <c:pt idx="7">
                  <c:v>11.6</c:v>
                </c:pt>
                <c:pt idx="8">
                  <c:v>1</c:v>
                </c:pt>
                <c:pt idx="9">
                  <c:v>21.2</c:v>
                </c:pt>
                <c:pt idx="10">
                  <c:v>24.2</c:v>
                </c:pt>
                <c:pt idx="11">
                  <c:v>4</c:v>
                </c:pt>
                <c:pt idx="12">
                  <c:v>65.900000000000006</c:v>
                </c:pt>
                <c:pt idx="13">
                  <c:v>7.2</c:v>
                </c:pt>
                <c:pt idx="14">
                  <c:v>46</c:v>
                </c:pt>
                <c:pt idx="15">
                  <c:v>52.9</c:v>
                </c:pt>
                <c:pt idx="16">
                  <c:v>114</c:v>
                </c:pt>
                <c:pt idx="17">
                  <c:v>55.8</c:v>
                </c:pt>
                <c:pt idx="18">
                  <c:v>18.3</c:v>
                </c:pt>
                <c:pt idx="19">
                  <c:v>19.100000000000001</c:v>
                </c:pt>
                <c:pt idx="20">
                  <c:v>53.4</c:v>
                </c:pt>
                <c:pt idx="21">
                  <c:v>23.5</c:v>
                </c:pt>
                <c:pt idx="22">
                  <c:v>49.6</c:v>
                </c:pt>
                <c:pt idx="23">
                  <c:v>26.2</c:v>
                </c:pt>
                <c:pt idx="24">
                  <c:v>18.3</c:v>
                </c:pt>
                <c:pt idx="25">
                  <c:v>19.5</c:v>
                </c:pt>
                <c:pt idx="26">
                  <c:v>12.6</c:v>
                </c:pt>
                <c:pt idx="27">
                  <c:v>22.9</c:v>
                </c:pt>
                <c:pt idx="28">
                  <c:v>22.9</c:v>
                </c:pt>
                <c:pt idx="29">
                  <c:v>40.799999999999997</c:v>
                </c:pt>
                <c:pt idx="30">
                  <c:v>43.2</c:v>
                </c:pt>
                <c:pt idx="31">
                  <c:v>38.6</c:v>
                </c:pt>
                <c:pt idx="32">
                  <c:v>30</c:v>
                </c:pt>
                <c:pt idx="33">
                  <c:v>0.3</c:v>
                </c:pt>
                <c:pt idx="34">
                  <c:v>7.4</c:v>
                </c:pt>
                <c:pt idx="35">
                  <c:v>8.5</c:v>
                </c:pt>
                <c:pt idx="36">
                  <c:v>5</c:v>
                </c:pt>
                <c:pt idx="37">
                  <c:v>45.7</c:v>
                </c:pt>
                <c:pt idx="38">
                  <c:v>35.1</c:v>
                </c:pt>
                <c:pt idx="39">
                  <c:v>32</c:v>
                </c:pt>
                <c:pt idx="40">
                  <c:v>31.6</c:v>
                </c:pt>
                <c:pt idx="41">
                  <c:v>38.700000000000003</c:v>
                </c:pt>
                <c:pt idx="42">
                  <c:v>1.8</c:v>
                </c:pt>
                <c:pt idx="43">
                  <c:v>26.4</c:v>
                </c:pt>
                <c:pt idx="44">
                  <c:v>43.3</c:v>
                </c:pt>
                <c:pt idx="45">
                  <c:v>31.5</c:v>
                </c:pt>
                <c:pt idx="46">
                  <c:v>35.700000000000003</c:v>
                </c:pt>
                <c:pt idx="47">
                  <c:v>18.5</c:v>
                </c:pt>
                <c:pt idx="48">
                  <c:v>49.9</c:v>
                </c:pt>
                <c:pt idx="49">
                  <c:v>36.799999999999997</c:v>
                </c:pt>
                <c:pt idx="50">
                  <c:v>34.6</c:v>
                </c:pt>
                <c:pt idx="51">
                  <c:v>3.6</c:v>
                </c:pt>
                <c:pt idx="52">
                  <c:v>39.6</c:v>
                </c:pt>
                <c:pt idx="53">
                  <c:v>58.7</c:v>
                </c:pt>
                <c:pt idx="54">
                  <c:v>15.9</c:v>
                </c:pt>
                <c:pt idx="55">
                  <c:v>60</c:v>
                </c:pt>
                <c:pt idx="56">
                  <c:v>41.4</c:v>
                </c:pt>
                <c:pt idx="57">
                  <c:v>16.600000000000001</c:v>
                </c:pt>
                <c:pt idx="58">
                  <c:v>37.700000000000003</c:v>
                </c:pt>
                <c:pt idx="59">
                  <c:v>9.3000000000000007</c:v>
                </c:pt>
                <c:pt idx="60">
                  <c:v>21.4</c:v>
                </c:pt>
                <c:pt idx="61">
                  <c:v>54.7</c:v>
                </c:pt>
                <c:pt idx="62">
                  <c:v>27.3</c:v>
                </c:pt>
                <c:pt idx="63">
                  <c:v>8.4</c:v>
                </c:pt>
                <c:pt idx="64">
                  <c:v>28.9</c:v>
                </c:pt>
                <c:pt idx="65">
                  <c:v>0.9</c:v>
                </c:pt>
                <c:pt idx="66">
                  <c:v>2.2000000000000002</c:v>
                </c:pt>
                <c:pt idx="67">
                  <c:v>10.199999999999999</c:v>
                </c:pt>
                <c:pt idx="68">
                  <c:v>11</c:v>
                </c:pt>
                <c:pt idx="69">
                  <c:v>27.2</c:v>
                </c:pt>
                <c:pt idx="70">
                  <c:v>38.700000000000003</c:v>
                </c:pt>
                <c:pt idx="71">
                  <c:v>31.7</c:v>
                </c:pt>
                <c:pt idx="72">
                  <c:v>19.3</c:v>
                </c:pt>
                <c:pt idx="73">
                  <c:v>31.3</c:v>
                </c:pt>
                <c:pt idx="74">
                  <c:v>13.1</c:v>
                </c:pt>
                <c:pt idx="75">
                  <c:v>89.4</c:v>
                </c:pt>
                <c:pt idx="76">
                  <c:v>20.7</c:v>
                </c:pt>
                <c:pt idx="77">
                  <c:v>14.2</c:v>
                </c:pt>
                <c:pt idx="78">
                  <c:v>9.4</c:v>
                </c:pt>
                <c:pt idx="79">
                  <c:v>23.1</c:v>
                </c:pt>
                <c:pt idx="80">
                  <c:v>22.3</c:v>
                </c:pt>
                <c:pt idx="81">
                  <c:v>36.9</c:v>
                </c:pt>
                <c:pt idx="82">
                  <c:v>32.5</c:v>
                </c:pt>
                <c:pt idx="83">
                  <c:v>35.6</c:v>
                </c:pt>
                <c:pt idx="84">
                  <c:v>33.799999999999997</c:v>
                </c:pt>
                <c:pt idx="85">
                  <c:v>65.7</c:v>
                </c:pt>
                <c:pt idx="86">
                  <c:v>16</c:v>
                </c:pt>
                <c:pt idx="87">
                  <c:v>63.2</c:v>
                </c:pt>
                <c:pt idx="88">
                  <c:v>73.400000000000006</c:v>
                </c:pt>
                <c:pt idx="89">
                  <c:v>51.4</c:v>
                </c:pt>
                <c:pt idx="90">
                  <c:v>9.3000000000000007</c:v>
                </c:pt>
                <c:pt idx="91">
                  <c:v>33</c:v>
                </c:pt>
                <c:pt idx="92">
                  <c:v>59</c:v>
                </c:pt>
                <c:pt idx="93">
                  <c:v>72.3</c:v>
                </c:pt>
                <c:pt idx="94">
                  <c:v>10.9</c:v>
                </c:pt>
                <c:pt idx="95">
                  <c:v>52.9</c:v>
                </c:pt>
                <c:pt idx="96">
                  <c:v>5.9</c:v>
                </c:pt>
                <c:pt idx="97">
                  <c:v>22</c:v>
                </c:pt>
                <c:pt idx="98">
                  <c:v>51.2</c:v>
                </c:pt>
                <c:pt idx="99">
                  <c:v>45.9</c:v>
                </c:pt>
                <c:pt idx="100">
                  <c:v>49.8</c:v>
                </c:pt>
                <c:pt idx="101">
                  <c:v>100.9</c:v>
                </c:pt>
                <c:pt idx="102">
                  <c:v>21.4</c:v>
                </c:pt>
                <c:pt idx="103">
                  <c:v>17.899999999999999</c:v>
                </c:pt>
                <c:pt idx="104">
                  <c:v>5.3</c:v>
                </c:pt>
                <c:pt idx="105">
                  <c:v>59</c:v>
                </c:pt>
                <c:pt idx="106">
                  <c:v>29.7</c:v>
                </c:pt>
                <c:pt idx="107">
                  <c:v>23.2</c:v>
                </c:pt>
                <c:pt idx="108">
                  <c:v>25.6</c:v>
                </c:pt>
                <c:pt idx="109">
                  <c:v>5.5</c:v>
                </c:pt>
                <c:pt idx="110">
                  <c:v>56.5</c:v>
                </c:pt>
                <c:pt idx="111">
                  <c:v>23.2</c:v>
                </c:pt>
                <c:pt idx="112">
                  <c:v>2.4</c:v>
                </c:pt>
                <c:pt idx="113">
                  <c:v>10.7</c:v>
                </c:pt>
                <c:pt idx="114">
                  <c:v>34.5</c:v>
                </c:pt>
                <c:pt idx="115">
                  <c:v>52.7</c:v>
                </c:pt>
                <c:pt idx="116">
                  <c:v>25.6</c:v>
                </c:pt>
                <c:pt idx="117">
                  <c:v>14.8</c:v>
                </c:pt>
                <c:pt idx="118">
                  <c:v>79.2</c:v>
                </c:pt>
                <c:pt idx="119">
                  <c:v>22.3</c:v>
                </c:pt>
                <c:pt idx="120">
                  <c:v>46.2</c:v>
                </c:pt>
                <c:pt idx="121">
                  <c:v>50.4</c:v>
                </c:pt>
                <c:pt idx="122">
                  <c:v>15.6</c:v>
                </c:pt>
                <c:pt idx="123">
                  <c:v>12.4</c:v>
                </c:pt>
                <c:pt idx="124">
                  <c:v>74.2</c:v>
                </c:pt>
                <c:pt idx="125">
                  <c:v>25.9</c:v>
                </c:pt>
                <c:pt idx="126">
                  <c:v>50.6</c:v>
                </c:pt>
                <c:pt idx="127">
                  <c:v>9.1999999999999993</c:v>
                </c:pt>
                <c:pt idx="128">
                  <c:v>3.2</c:v>
                </c:pt>
                <c:pt idx="129">
                  <c:v>43.1</c:v>
                </c:pt>
                <c:pt idx="130">
                  <c:v>8.6999999999999993</c:v>
                </c:pt>
                <c:pt idx="131">
                  <c:v>43</c:v>
                </c:pt>
                <c:pt idx="132">
                  <c:v>2.1</c:v>
                </c:pt>
                <c:pt idx="133">
                  <c:v>45.1</c:v>
                </c:pt>
                <c:pt idx="134">
                  <c:v>65.599999999999994</c:v>
                </c:pt>
                <c:pt idx="135">
                  <c:v>8.5</c:v>
                </c:pt>
                <c:pt idx="136">
                  <c:v>9.3000000000000007</c:v>
                </c:pt>
                <c:pt idx="137">
                  <c:v>59.7</c:v>
                </c:pt>
                <c:pt idx="138">
                  <c:v>20.5</c:v>
                </c:pt>
                <c:pt idx="139">
                  <c:v>1.7</c:v>
                </c:pt>
                <c:pt idx="140">
                  <c:v>12.9</c:v>
                </c:pt>
                <c:pt idx="141">
                  <c:v>75.599999999999994</c:v>
                </c:pt>
                <c:pt idx="142">
                  <c:v>37.9</c:v>
                </c:pt>
                <c:pt idx="143">
                  <c:v>34.4</c:v>
                </c:pt>
                <c:pt idx="144">
                  <c:v>38.9</c:v>
                </c:pt>
                <c:pt idx="145">
                  <c:v>9</c:v>
                </c:pt>
                <c:pt idx="146">
                  <c:v>8.6999999999999993</c:v>
                </c:pt>
                <c:pt idx="147">
                  <c:v>44.3</c:v>
                </c:pt>
                <c:pt idx="148">
                  <c:v>11.9</c:v>
                </c:pt>
                <c:pt idx="149">
                  <c:v>20.6</c:v>
                </c:pt>
                <c:pt idx="150">
                  <c:v>37</c:v>
                </c:pt>
                <c:pt idx="151">
                  <c:v>48.7</c:v>
                </c:pt>
                <c:pt idx="152">
                  <c:v>14.2</c:v>
                </c:pt>
                <c:pt idx="153">
                  <c:v>37.700000000000003</c:v>
                </c:pt>
                <c:pt idx="154">
                  <c:v>9.5</c:v>
                </c:pt>
                <c:pt idx="155">
                  <c:v>5.7</c:v>
                </c:pt>
                <c:pt idx="156">
                  <c:v>50.5</c:v>
                </c:pt>
                <c:pt idx="157">
                  <c:v>24.3</c:v>
                </c:pt>
                <c:pt idx="158">
                  <c:v>45.2</c:v>
                </c:pt>
                <c:pt idx="159">
                  <c:v>34.6</c:v>
                </c:pt>
                <c:pt idx="160">
                  <c:v>30.7</c:v>
                </c:pt>
                <c:pt idx="161">
                  <c:v>49.3</c:v>
                </c:pt>
                <c:pt idx="162">
                  <c:v>25.6</c:v>
                </c:pt>
                <c:pt idx="163">
                  <c:v>7.4</c:v>
                </c:pt>
                <c:pt idx="164">
                  <c:v>5.4</c:v>
                </c:pt>
                <c:pt idx="165">
                  <c:v>84.8</c:v>
                </c:pt>
                <c:pt idx="166">
                  <c:v>21.6</c:v>
                </c:pt>
                <c:pt idx="167">
                  <c:v>19.399999999999999</c:v>
                </c:pt>
                <c:pt idx="168">
                  <c:v>57.6</c:v>
                </c:pt>
                <c:pt idx="169">
                  <c:v>6.4</c:v>
                </c:pt>
                <c:pt idx="170">
                  <c:v>18.399999999999999</c:v>
                </c:pt>
                <c:pt idx="171">
                  <c:v>47.4</c:v>
                </c:pt>
                <c:pt idx="172">
                  <c:v>17</c:v>
                </c:pt>
                <c:pt idx="173">
                  <c:v>12.8</c:v>
                </c:pt>
                <c:pt idx="174">
                  <c:v>13.1</c:v>
                </c:pt>
                <c:pt idx="175">
                  <c:v>41.8</c:v>
                </c:pt>
                <c:pt idx="176">
                  <c:v>20.3</c:v>
                </c:pt>
                <c:pt idx="177">
                  <c:v>35.200000000000003</c:v>
                </c:pt>
                <c:pt idx="178">
                  <c:v>23.7</c:v>
                </c:pt>
                <c:pt idx="179">
                  <c:v>17.600000000000001</c:v>
                </c:pt>
                <c:pt idx="180">
                  <c:v>8.3000000000000007</c:v>
                </c:pt>
                <c:pt idx="181">
                  <c:v>27.4</c:v>
                </c:pt>
                <c:pt idx="182">
                  <c:v>29.7</c:v>
                </c:pt>
                <c:pt idx="183">
                  <c:v>71.8</c:v>
                </c:pt>
                <c:pt idx="184">
                  <c:v>30</c:v>
                </c:pt>
                <c:pt idx="185">
                  <c:v>19.600000000000001</c:v>
                </c:pt>
                <c:pt idx="186">
                  <c:v>26.6</c:v>
                </c:pt>
                <c:pt idx="187">
                  <c:v>18.2</c:v>
                </c:pt>
                <c:pt idx="188">
                  <c:v>3.7</c:v>
                </c:pt>
                <c:pt idx="189">
                  <c:v>23.4</c:v>
                </c:pt>
                <c:pt idx="190">
                  <c:v>5.8</c:v>
                </c:pt>
                <c:pt idx="191">
                  <c:v>6</c:v>
                </c:pt>
                <c:pt idx="192">
                  <c:v>31.6</c:v>
                </c:pt>
                <c:pt idx="193">
                  <c:v>3.6</c:v>
                </c:pt>
                <c:pt idx="194">
                  <c:v>6</c:v>
                </c:pt>
                <c:pt idx="195">
                  <c:v>13.8</c:v>
                </c:pt>
                <c:pt idx="196">
                  <c:v>8.1</c:v>
                </c:pt>
                <c:pt idx="197">
                  <c:v>6.4</c:v>
                </c:pt>
                <c:pt idx="198">
                  <c:v>66.2</c:v>
                </c:pt>
                <c:pt idx="199">
                  <c:v>8.6999999999999993</c:v>
                </c:pt>
              </c:numCache>
            </c:numRef>
          </c:xVal>
          <c:yVal>
            <c:numRef>
              <c:f>'Predicted Sales'!$B$27:$B$226</c:f>
              <c:numCache>
                <c:formatCode>General</c:formatCode>
                <c:ptCount val="200"/>
                <c:pt idx="0">
                  <c:v>20.523195151535901</c:v>
                </c:pt>
                <c:pt idx="1">
                  <c:v>12.324989226267956</c:v>
                </c:pt>
                <c:pt idx="2">
                  <c:v>12.282122313239745</c:v>
                </c:pt>
                <c:pt idx="3">
                  <c:v>17.590999787523227</c:v>
                </c:pt>
                <c:pt idx="4">
                  <c:v>13.196388070096052</c:v>
                </c:pt>
                <c:pt idx="5">
                  <c:v>12.449054609545115</c:v>
                </c:pt>
                <c:pt idx="6">
                  <c:v>11.727287606754249</c:v>
                </c:pt>
                <c:pt idx="7">
                  <c:v>12.135498194641171</c:v>
                </c:pt>
                <c:pt idx="8">
                  <c:v>3.7383852036805543</c:v>
                </c:pt>
                <c:pt idx="9">
                  <c:v>12.574987174450818</c:v>
                </c:pt>
                <c:pt idx="10">
                  <c:v>7.0406970108989189</c:v>
                </c:pt>
                <c:pt idx="11">
                  <c:v>17.307958301952898</c:v>
                </c:pt>
                <c:pt idx="12">
                  <c:v>10.55736854610242</c:v>
                </c:pt>
                <c:pt idx="13">
                  <c:v>8.8424185108464624</c:v>
                </c:pt>
                <c:pt idx="14">
                  <c:v>18.439894485334655</c:v>
                </c:pt>
                <c:pt idx="15">
                  <c:v>20.816233722266968</c:v>
                </c:pt>
                <c:pt idx="16">
                  <c:v>12.793093218981529</c:v>
                </c:pt>
                <c:pt idx="17">
                  <c:v>23.23282219592247</c:v>
                </c:pt>
                <c:pt idx="18">
                  <c:v>9.9566433966637042</c:v>
                </c:pt>
                <c:pt idx="19">
                  <c:v>14.177455402472756</c:v>
                </c:pt>
                <c:pt idx="20">
                  <c:v>18.107452227472962</c:v>
                </c:pt>
                <c:pt idx="21">
                  <c:v>14.766855494381579</c:v>
                </c:pt>
                <c:pt idx="22">
                  <c:v>6.4805681323586271</c:v>
                </c:pt>
                <c:pt idx="23">
                  <c:v>16.56603555039133</c:v>
                </c:pt>
                <c:pt idx="24">
                  <c:v>8.1537647328570309</c:v>
                </c:pt>
                <c:pt idx="25">
                  <c:v>15.640781537669755</c:v>
                </c:pt>
                <c:pt idx="26">
                  <c:v>15.000396735665998</c:v>
                </c:pt>
                <c:pt idx="27">
                  <c:v>17.074063269014943</c:v>
                </c:pt>
                <c:pt idx="28">
                  <c:v>19.429881336746931</c:v>
                </c:pt>
                <c:pt idx="29">
                  <c:v>9.1439417434147003</c:v>
                </c:pt>
                <c:pt idx="30">
                  <c:v>21.651099276224084</c:v>
                </c:pt>
                <c:pt idx="31">
                  <c:v>11.350461532839503</c:v>
                </c:pt>
                <c:pt idx="32">
                  <c:v>7.6502977387295603</c:v>
                </c:pt>
                <c:pt idx="33">
                  <c:v>18.894924715728113</c:v>
                </c:pt>
                <c:pt idx="34">
                  <c:v>7.5930483130757507</c:v>
                </c:pt>
                <c:pt idx="35">
                  <c:v>17.043539869292168</c:v>
                </c:pt>
                <c:pt idx="36">
                  <c:v>23.42625166888449</c:v>
                </c:pt>
                <c:pt idx="37">
                  <c:v>15.609684410485778</c:v>
                </c:pt>
                <c:pt idx="38">
                  <c:v>9.9034981393027923</c:v>
                </c:pt>
                <c:pt idx="39">
                  <c:v>20.458042470937908</c:v>
                </c:pt>
                <c:pt idx="40">
                  <c:v>16.391445788059258</c:v>
                </c:pt>
                <c:pt idx="41">
                  <c:v>17.300797732495159</c:v>
                </c:pt>
                <c:pt idx="42">
                  <c:v>21.625939860183099</c:v>
                </c:pt>
                <c:pt idx="43">
                  <c:v>13.984933374116842</c:v>
                </c:pt>
                <c:pt idx="44">
                  <c:v>8.8787324254172759</c:v>
                </c:pt>
                <c:pt idx="45">
                  <c:v>15.172469574662658</c:v>
                </c:pt>
                <c:pt idx="46">
                  <c:v>8.8791168160788381</c:v>
                </c:pt>
                <c:pt idx="47">
                  <c:v>21.736969243821729</c:v>
                </c:pt>
                <c:pt idx="48">
                  <c:v>16.276771926112595</c:v>
                </c:pt>
                <c:pt idx="49">
                  <c:v>8.1705570443187749</c:v>
                </c:pt>
                <c:pt idx="50">
                  <c:v>12.651058835189284</c:v>
                </c:pt>
                <c:pt idx="51">
                  <c:v>9.3565720378325512</c:v>
                </c:pt>
                <c:pt idx="52">
                  <c:v>20.66838781047759</c:v>
                </c:pt>
                <c:pt idx="53">
                  <c:v>19.939122285347544</c:v>
                </c:pt>
                <c:pt idx="54">
                  <c:v>20.396688585002419</c:v>
                </c:pt>
                <c:pt idx="55">
                  <c:v>21.287084986738297</c:v>
                </c:pt>
                <c:pt idx="56">
                  <c:v>8.5164269042294958</c:v>
                </c:pt>
                <c:pt idx="57">
                  <c:v>12.787382741488015</c:v>
                </c:pt>
                <c:pt idx="58">
                  <c:v>21.900488593930525</c:v>
                </c:pt>
                <c:pt idx="59">
                  <c:v>18.152206881110825</c:v>
                </c:pt>
                <c:pt idx="60">
                  <c:v>5.7515644642328034</c:v>
                </c:pt>
                <c:pt idx="61">
                  <c:v>22.895655275604174</c:v>
                </c:pt>
                <c:pt idx="62">
                  <c:v>16.805675950374493</c:v>
                </c:pt>
                <c:pt idx="63">
                  <c:v>13.218653824644788</c:v>
                </c:pt>
                <c:pt idx="64">
                  <c:v>16.977322588262517</c:v>
                </c:pt>
                <c:pt idx="65">
                  <c:v>7.8635474062961297</c:v>
                </c:pt>
                <c:pt idx="66">
                  <c:v>9.0205327843715928</c:v>
                </c:pt>
                <c:pt idx="67">
                  <c:v>12.053853843725832</c:v>
                </c:pt>
                <c:pt idx="68">
                  <c:v>18.998253366223828</c:v>
                </c:pt>
                <c:pt idx="69">
                  <c:v>21.117329290325667</c:v>
                </c:pt>
                <c:pt idx="70">
                  <c:v>17.787621107329031</c:v>
                </c:pt>
                <c:pt idx="71">
                  <c:v>10.634275454568254</c:v>
                </c:pt>
                <c:pt idx="72">
                  <c:v>10.362460857974094</c:v>
                </c:pt>
                <c:pt idx="73">
                  <c:v>9.9156890379715321</c:v>
                </c:pt>
                <c:pt idx="74">
                  <c:v>17.348996255798696</c:v>
                </c:pt>
                <c:pt idx="75">
                  <c:v>11.827421727569108</c:v>
                </c:pt>
                <c:pt idx="76">
                  <c:v>4.4847163078797596</c:v>
                </c:pt>
                <c:pt idx="77">
                  <c:v>13.82031677491945</c:v>
                </c:pt>
                <c:pt idx="78">
                  <c:v>8.8109494060026101</c:v>
                </c:pt>
                <c:pt idx="79">
                  <c:v>9.6883998743396447</c:v>
                </c:pt>
                <c:pt idx="80">
                  <c:v>11.448049331738343</c:v>
                </c:pt>
                <c:pt idx="81">
                  <c:v>14.670778787485421</c:v>
                </c:pt>
                <c:pt idx="82">
                  <c:v>10.179719231318042</c:v>
                </c:pt>
                <c:pt idx="83">
                  <c:v>14.41235175802688</c:v>
                </c:pt>
                <c:pt idx="84">
                  <c:v>20.787765470498758</c:v>
                </c:pt>
                <c:pt idx="85">
                  <c:v>15.185278370802223</c:v>
                </c:pt>
                <c:pt idx="86">
                  <c:v>11.602448921109099</c:v>
                </c:pt>
                <c:pt idx="87">
                  <c:v>15.581627013342256</c:v>
                </c:pt>
                <c:pt idx="88">
                  <c:v>11.699419720969209</c:v>
                </c:pt>
                <c:pt idx="89">
                  <c:v>16.910895493135012</c:v>
                </c:pt>
                <c:pt idx="90">
                  <c:v>10.019472444531532</c:v>
                </c:pt>
                <c:pt idx="91">
                  <c:v>4.4998278902409243</c:v>
                </c:pt>
                <c:pt idx="92">
                  <c:v>19.159102611121252</c:v>
                </c:pt>
                <c:pt idx="93">
                  <c:v>21.228454825341387</c:v>
                </c:pt>
                <c:pt idx="94">
                  <c:v>10.49569734676292</c:v>
                </c:pt>
                <c:pt idx="95">
                  <c:v>16.314674635134676</c:v>
                </c:pt>
                <c:pt idx="96">
                  <c:v>12.663974829644003</c:v>
                </c:pt>
                <c:pt idx="97">
                  <c:v>15.352497237146574</c:v>
                </c:pt>
                <c:pt idx="98">
                  <c:v>24.127704539724622</c:v>
                </c:pt>
                <c:pt idx="99">
                  <c:v>16.935566694437323</c:v>
                </c:pt>
                <c:pt idx="100">
                  <c:v>13.893000303187726</c:v>
                </c:pt>
                <c:pt idx="101">
                  <c:v>23.239321215979746</c:v>
                </c:pt>
                <c:pt idx="102">
                  <c:v>17.673521034382471</c:v>
                </c:pt>
                <c:pt idx="103">
                  <c:v>14.780628124570974</c:v>
                </c:pt>
                <c:pt idx="104">
                  <c:v>20.322038075323885</c:v>
                </c:pt>
                <c:pt idx="105">
                  <c:v>17.926118902529367</c:v>
                </c:pt>
                <c:pt idx="106">
                  <c:v>6.1265856945587887</c:v>
                </c:pt>
                <c:pt idx="107">
                  <c:v>7.1217600366041491</c:v>
                </c:pt>
                <c:pt idx="108">
                  <c:v>3.5918733549429573</c:v>
                </c:pt>
                <c:pt idx="109">
                  <c:v>19.718348290407338</c:v>
                </c:pt>
                <c:pt idx="110">
                  <c:v>14.773736569059263</c:v>
                </c:pt>
                <c:pt idx="111">
                  <c:v>21.154682238661881</c:v>
                </c:pt>
                <c:pt idx="112">
                  <c:v>13.903209756660377</c:v>
                </c:pt>
                <c:pt idx="113">
                  <c:v>16.425320717789667</c:v>
                </c:pt>
                <c:pt idx="114">
                  <c:v>15.296070410172021</c:v>
                </c:pt>
                <c:pt idx="115">
                  <c:v>12.909238237573879</c:v>
                </c:pt>
                <c:pt idx="116">
                  <c:v>11.990945312279209</c:v>
                </c:pt>
                <c:pt idx="117">
                  <c:v>6.5849918514005523</c:v>
                </c:pt>
                <c:pt idx="118">
                  <c:v>15.55196414835263</c:v>
                </c:pt>
                <c:pt idx="119">
                  <c:v>6.8204357568963134</c:v>
                </c:pt>
                <c:pt idx="120">
                  <c:v>14.411485525291518</c:v>
                </c:pt>
                <c:pt idx="121">
                  <c:v>7.8276265027295899</c:v>
                </c:pt>
                <c:pt idx="122">
                  <c:v>13.654849264865341</c:v>
                </c:pt>
                <c:pt idx="123">
                  <c:v>15.089714714705979</c:v>
                </c:pt>
                <c:pt idx="124">
                  <c:v>19.454121742079849</c:v>
                </c:pt>
                <c:pt idx="125">
                  <c:v>9.1351066228184319</c:v>
                </c:pt>
                <c:pt idx="126">
                  <c:v>10.559039621124727</c:v>
                </c:pt>
                <c:pt idx="127">
                  <c:v>6.6162870464763683</c:v>
                </c:pt>
                <c:pt idx="128">
                  <c:v>22.269683142156484</c:v>
                </c:pt>
                <c:pt idx="129">
                  <c:v>7.8837127666662843</c:v>
                </c:pt>
                <c:pt idx="130">
                  <c:v>10.421391117881434</c:v>
                </c:pt>
                <c:pt idx="131">
                  <c:v>15.601808548087334</c:v>
                </c:pt>
                <c:pt idx="132">
                  <c:v>8.4503469293701059</c:v>
                </c:pt>
                <c:pt idx="133">
                  <c:v>19.274098270583192</c:v>
                </c:pt>
                <c:pt idx="134">
                  <c:v>11.817153921148019</c:v>
                </c:pt>
                <c:pt idx="135">
                  <c:v>13.997227397594742</c:v>
                </c:pt>
                <c:pt idx="136">
                  <c:v>11.449768618939208</c:v>
                </c:pt>
                <c:pt idx="137">
                  <c:v>20.861184956925694</c:v>
                </c:pt>
                <c:pt idx="138">
                  <c:v>9.7680065841827766</c:v>
                </c:pt>
                <c:pt idx="139">
                  <c:v>19.688451176861669</c:v>
                </c:pt>
                <c:pt idx="140">
                  <c:v>9.4980062928232769</c:v>
                </c:pt>
                <c:pt idx="141">
                  <c:v>18.393492416913599</c:v>
                </c:pt>
                <c:pt idx="142">
                  <c:v>19.259433167464746</c:v>
                </c:pt>
                <c:pt idx="143">
                  <c:v>8.7740357005548812</c:v>
                </c:pt>
                <c:pt idx="144">
                  <c:v>10.094893628548119</c:v>
                </c:pt>
                <c:pt idx="145">
                  <c:v>9.7306185403989662</c:v>
                </c:pt>
                <c:pt idx="146">
                  <c:v>15.324514478075907</c:v>
                </c:pt>
                <c:pt idx="147">
                  <c:v>23.264802907225398</c:v>
                </c:pt>
                <c:pt idx="148">
                  <c:v>12.25961681570689</c:v>
                </c:pt>
                <c:pt idx="149">
                  <c:v>9.8270300116391329</c:v>
                </c:pt>
                <c:pt idx="150">
                  <c:v>18.390471303577407</c:v>
                </c:pt>
                <c:pt idx="151">
                  <c:v>10.01504223852551</c:v>
                </c:pt>
                <c:pt idx="152">
                  <c:v>16.378230765763274</c:v>
                </c:pt>
                <c:pt idx="153">
                  <c:v>18.226059567818986</c:v>
                </c:pt>
                <c:pt idx="154">
                  <c:v>15.521120208619578</c:v>
                </c:pt>
                <c:pt idx="155">
                  <c:v>5.3131143626897881</c:v>
                </c:pt>
                <c:pt idx="156">
                  <c:v>15.373774830610698</c:v>
                </c:pt>
                <c:pt idx="157">
                  <c:v>10.032901603941328</c:v>
                </c:pt>
                <c:pt idx="158">
                  <c:v>10.368870447250295</c:v>
                </c:pt>
                <c:pt idx="159">
                  <c:v>12.406277276064976</c:v>
                </c:pt>
                <c:pt idx="160">
                  <c:v>14.226423255329919</c:v>
                </c:pt>
                <c:pt idx="161">
                  <c:v>13.550512478332799</c:v>
                </c:pt>
                <c:pt idx="162">
                  <c:v>14.962552322514773</c:v>
                </c:pt>
                <c:pt idx="163">
                  <c:v>17.363371854260677</c:v>
                </c:pt>
                <c:pt idx="164">
                  <c:v>11.084284798387852</c:v>
                </c:pt>
                <c:pt idx="165">
                  <c:v>14.231621583730391</c:v>
                </c:pt>
                <c:pt idx="166">
                  <c:v>10.81665788355733</c:v>
                </c:pt>
                <c:pt idx="167">
                  <c:v>13.38766583985292</c:v>
                </c:pt>
                <c:pt idx="168">
                  <c:v>17.192786877776829</c:v>
                </c:pt>
                <c:pt idx="169">
                  <c:v>17.975803530685578</c:v>
                </c:pt>
                <c:pt idx="170">
                  <c:v>7.4013210243057319</c:v>
                </c:pt>
                <c:pt idx="171">
                  <c:v>14.363878753224981</c:v>
                </c:pt>
                <c:pt idx="172">
                  <c:v>7.6081529880050693</c:v>
                </c:pt>
                <c:pt idx="173">
                  <c:v>11.992750262156147</c:v>
                </c:pt>
                <c:pt idx="174">
                  <c:v>13.772973853563704</c:v>
                </c:pt>
                <c:pt idx="175">
                  <c:v>24.795046369465211</c:v>
                </c:pt>
                <c:pt idx="176">
                  <c:v>19.99829905017862</c:v>
                </c:pt>
                <c:pt idx="177">
                  <c:v>12.176919493084652</c:v>
                </c:pt>
                <c:pt idx="178">
                  <c:v>16.042313230345659</c:v>
                </c:pt>
                <c:pt idx="179">
                  <c:v>12.40351542304013</c:v>
                </c:pt>
                <c:pt idx="180">
                  <c:v>10.610888670940094</c:v>
                </c:pt>
                <c:pt idx="181">
                  <c:v>13.951184950858135</c:v>
                </c:pt>
                <c:pt idx="182">
                  <c:v>6.5604140604254457</c:v>
                </c:pt>
                <c:pt idx="183">
                  <c:v>24.135413070864491</c:v>
                </c:pt>
                <c:pt idx="184">
                  <c:v>18.558392951388267</c:v>
                </c:pt>
                <c:pt idx="185">
                  <c:v>20.812098768130216</c:v>
                </c:pt>
                <c:pt idx="186">
                  <c:v>9.7079083237841459</c:v>
                </c:pt>
                <c:pt idx="187">
                  <c:v>17.09074469346896</c:v>
                </c:pt>
                <c:pt idx="188">
                  <c:v>18.678305549185243</c:v>
                </c:pt>
                <c:pt idx="189">
                  <c:v>6.0530588162491012</c:v>
                </c:pt>
                <c:pt idx="190">
                  <c:v>12.48713401746048</c:v>
                </c:pt>
                <c:pt idx="191">
                  <c:v>8.4370548714212017</c:v>
                </c:pt>
                <c:pt idx="192">
                  <c:v>4.4680262821431089</c:v>
                </c:pt>
                <c:pt idx="193">
                  <c:v>18.49822680257941</c:v>
                </c:pt>
                <c:pt idx="194">
                  <c:v>16.506513482169407</c:v>
                </c:pt>
                <c:pt idx="195">
                  <c:v>5.3798772939656976</c:v>
                </c:pt>
                <c:pt idx="196">
                  <c:v>8.1818397935169038</c:v>
                </c:pt>
                <c:pt idx="197">
                  <c:v>12.809735075018446</c:v>
                </c:pt>
                <c:pt idx="198">
                  <c:v>23.771319509241035</c:v>
                </c:pt>
                <c:pt idx="199">
                  <c:v>13.584073857167658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73-4F8F-B930-A5010AFAD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660031"/>
        <c:axId val="1847651391"/>
      </c:scatterChart>
      <c:valAx>
        <c:axId val="1847660031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47651391"/>
        <c:crosses val="autoZero"/>
        <c:crossBetween val="midCat"/>
      </c:valAx>
      <c:valAx>
        <c:axId val="1847651391"/>
        <c:scaling>
          <c:orientation val="minMax"/>
        </c:scaling>
        <c:delete val="0"/>
        <c:axPos val="l"/>
        <c:minorGridlines/>
        <c:numFmt formatCode="General" sourceLinked="1"/>
        <c:majorTickMark val="out"/>
        <c:minorTickMark val="none"/>
        <c:tickLblPos val="nextTo"/>
        <c:crossAx val="184766003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4.2059220194421883E-2"/>
          <c:y val="0.76179444384898454"/>
          <c:w val="0.90974029208255214"/>
          <c:h val="0.23172355009774048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advertising_Dataset!$J$1</c:f>
              <c:strCache>
                <c:ptCount val="1"/>
                <c:pt idx="0">
                  <c:v>Predicted Sales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advertising_Dataset!$E$2:$E$203</c:f>
              <c:numCache>
                <c:formatCode>General</c:formatCode>
                <c:ptCount val="202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  <c:pt idx="200">
                  <c:v>200</c:v>
                </c:pt>
                <c:pt idx="201">
                  <c:v>0</c:v>
                </c:pt>
              </c:numCache>
            </c:numRef>
          </c:xVal>
          <c:yVal>
            <c:numRef>
              <c:f>advertising_Dataset!$J$2:$J$203</c:f>
              <c:numCache>
                <c:formatCode>0.000</c:formatCode>
                <c:ptCount val="202"/>
                <c:pt idx="0">
                  <c:v>20.709149960375449</c:v>
                </c:pt>
                <c:pt idx="1">
                  <c:v>12.44618231700009</c:v>
                </c:pt>
                <c:pt idx="2">
                  <c:v>12.468345842901316</c:v>
                </c:pt>
                <c:pt idx="3">
                  <c:v>17.748201468406368</c:v>
                </c:pt>
                <c:pt idx="4">
                  <c:v>13.353321030157172</c:v>
                </c:pt>
                <c:pt idx="5">
                  <c:v>12.650595226061967</c:v>
                </c:pt>
                <c:pt idx="6">
                  <c:v>11.790436999929529</c:v>
                </c:pt>
                <c:pt idx="7">
                  <c:v>12.166669809995776</c:v>
                </c:pt>
                <c:pt idx="8">
                  <c:v>3.7410724119007792</c:v>
                </c:pt>
                <c:pt idx="9">
                  <c:v>12.631955988719582</c:v>
                </c:pt>
                <c:pt idx="10">
                  <c:v>7.1057274498283558</c:v>
                </c:pt>
                <c:pt idx="11">
                  <c:v>17.318707134833797</c:v>
                </c:pt>
                <c:pt idx="12">
                  <c:v>10.734455567815228</c:v>
                </c:pt>
                <c:pt idx="13">
                  <c:v>8.8617664100320805</c:v>
                </c:pt>
                <c:pt idx="14">
                  <c:v>18.563506063464992</c:v>
                </c:pt>
                <c:pt idx="15">
                  <c:v>20.958387037116854</c:v>
                </c:pt>
                <c:pt idx="16">
                  <c:v>13.099434956087141</c:v>
                </c:pt>
                <c:pt idx="17">
                  <c:v>23.382768414611004</c:v>
                </c:pt>
                <c:pt idx="18">
                  <c:v>10.005819307093816</c:v>
                </c:pt>
                <c:pt idx="19">
                  <c:v>14.228781079479045</c:v>
                </c:pt>
                <c:pt idx="20">
                  <c:v>18.250949146432959</c:v>
                </c:pt>
                <c:pt idx="21">
                  <c:v>14.830004887556859</c:v>
                </c:pt>
                <c:pt idx="22">
                  <c:v>6.6138536600817712</c:v>
                </c:pt>
                <c:pt idx="23">
                  <c:v>16.636440405761217</c:v>
                </c:pt>
                <c:pt idx="24">
                  <c:v>8.2029406432871426</c:v>
                </c:pt>
                <c:pt idx="25">
                  <c:v>15.693182097964135</c:v>
                </c:pt>
                <c:pt idx="26">
                  <c:v>15.03425555924083</c:v>
                </c:pt>
                <c:pt idx="27">
                  <c:v>17.13560033725809</c:v>
                </c:pt>
                <c:pt idx="28">
                  <c:v>19.491418404990078</c:v>
                </c:pt>
                <c:pt idx="29">
                  <c:v>9.2535798387998689</c:v>
                </c:pt>
                <c:pt idx="30">
                  <c:v>21.767186671337793</c:v>
                </c:pt>
                <c:pt idx="31">
                  <c:v>11.454187770140177</c:v>
                </c:pt>
                <c:pt idx="32">
                  <c:v>7.7309139853362998</c:v>
                </c:pt>
                <c:pt idx="33">
                  <c:v>18.895730878194183</c:v>
                </c:pt>
                <c:pt idx="34">
                  <c:v>7.6129336539054124</c:v>
                </c:pt>
                <c:pt idx="35">
                  <c:v>17.066381139164079</c:v>
                </c:pt>
                <c:pt idx="36">
                  <c:v>23.439687709985613</c:v>
                </c:pt>
                <c:pt idx="37">
                  <c:v>15.732489826150045</c:v>
                </c:pt>
                <c:pt idx="38">
                  <c:v>9.9978191478326774</c:v>
                </c:pt>
                <c:pt idx="39">
                  <c:v>20.544033133985099</c:v>
                </c:pt>
                <c:pt idx="40">
                  <c:v>16.476361567818358</c:v>
                </c:pt>
                <c:pt idx="41">
                  <c:v>17.404792690617857</c:v>
                </c:pt>
                <c:pt idx="42">
                  <c:v>21.630776834979503</c:v>
                </c:pt>
                <c:pt idx="43">
                  <c:v>14.055875671130774</c:v>
                </c:pt>
                <c:pt idx="44">
                  <c:v>8.995088541353006</c:v>
                </c:pt>
                <c:pt idx="45">
                  <c:v>15.257116633599734</c:v>
                </c:pt>
                <c:pt idx="46">
                  <c:v>8.9750501495408592</c:v>
                </c:pt>
                <c:pt idx="47">
                  <c:v>21.786682595895886</c:v>
                </c:pt>
                <c:pt idx="48">
                  <c:v>16.410863616301803</c:v>
                </c:pt>
                <c:pt idx="49">
                  <c:v>8.2694463068230437</c:v>
                </c:pt>
                <c:pt idx="50">
                  <c:v>12.744036239609057</c:v>
                </c:pt>
                <c:pt idx="51">
                  <c:v>9.3662459874253603</c:v>
                </c:pt>
                <c:pt idx="52">
                  <c:v>20.77480125599849</c:v>
                </c:pt>
                <c:pt idx="53">
                  <c:v>20.096861407874734</c:v>
                </c:pt>
                <c:pt idx="54">
                  <c:v>20.43941519570399</c:v>
                </c:pt>
                <c:pt idx="55">
                  <c:v>21.448317479951779</c:v>
                </c:pt>
                <c:pt idx="56">
                  <c:v>8.6276773245467968</c:v>
                </c:pt>
                <c:pt idx="57">
                  <c:v>12.831990397943743</c:v>
                </c:pt>
                <c:pt idx="58">
                  <c:v>22.001796343832993</c:v>
                </c:pt>
                <c:pt idx="59">
                  <c:v>18.177197917558917</c:v>
                </c:pt>
                <c:pt idx="60">
                  <c:v>5.8090707201456109</c:v>
                </c:pt>
                <c:pt idx="61">
                  <c:v>23.042645565250464</c:v>
                </c:pt>
                <c:pt idx="62">
                  <c:v>16.879036734786624</c:v>
                </c:pt>
                <c:pt idx="63">
                  <c:v>13.241226373694674</c:v>
                </c:pt>
                <c:pt idx="64">
                  <c:v>17.054982905827011</c:v>
                </c:pt>
                <c:pt idx="65">
                  <c:v>7.865965893694332</c:v>
                </c:pt>
                <c:pt idx="66">
                  <c:v>9.026444642456088</c:v>
                </c:pt>
                <c:pt idx="67">
                  <c:v>12.081263367572124</c:v>
                </c:pt>
                <c:pt idx="68">
                  <c:v>19.027812656646297</c:v>
                </c:pt>
                <c:pt idx="69">
                  <c:v>21.190421353915777</c:v>
                </c:pt>
                <c:pt idx="70">
                  <c:v>17.891616065451728</c:v>
                </c:pt>
                <c:pt idx="71">
                  <c:v>10.719459955149375</c:v>
                </c:pt>
                <c:pt idx="72">
                  <c:v>10.414323976624429</c:v>
                </c:pt>
                <c:pt idx="73">
                  <c:v>9.9997986552645628</c:v>
                </c:pt>
                <c:pt idx="74">
                  <c:v>17.384198683483639</c:v>
                </c:pt>
                <c:pt idx="75">
                  <c:v>12.067658142457196</c:v>
                </c:pt>
                <c:pt idx="76">
                  <c:v>4.5403415180384101</c:v>
                </c:pt>
                <c:pt idx="77">
                  <c:v>13.858475131646641</c:v>
                </c:pt>
                <c:pt idx="78">
                  <c:v>8.8362091632727235</c:v>
                </c:pt>
                <c:pt idx="79">
                  <c:v>9.750474384226834</c:v>
                </c:pt>
                <c:pt idx="80">
                  <c:v>11.507974075049354</c:v>
                </c:pt>
                <c:pt idx="81">
                  <c:v>14.769936770811711</c:v>
                </c:pt>
                <c:pt idx="82">
                  <c:v>10.267053498475345</c:v>
                </c:pt>
                <c:pt idx="83">
                  <c:v>14.50801637066688</c:v>
                </c:pt>
                <c:pt idx="84">
                  <c:v>20.878593108342354</c:v>
                </c:pt>
                <c:pt idx="85">
                  <c:v>15.361827950870985</c:v>
                </c:pt>
                <c:pt idx="86">
                  <c:v>11.645444252632695</c:v>
                </c:pt>
                <c:pt idx="87">
                  <c:v>15.751458572860457</c:v>
                </c:pt>
                <c:pt idx="88">
                  <c:v>11.896660804333701</c:v>
                </c:pt>
                <c:pt idx="89">
                  <c:v>17.049017995654562</c:v>
                </c:pt>
                <c:pt idx="90">
                  <c:v>10.044463480979621</c:v>
                </c:pt>
                <c:pt idx="91">
                  <c:v>4.5885057615083387</c:v>
                </c:pt>
                <c:pt idx="92">
                  <c:v>19.317647896114511</c:v>
                </c:pt>
                <c:pt idx="93">
                  <c:v>21.422739979663632</c:v>
                </c:pt>
                <c:pt idx="94">
                  <c:v>10.524987916363369</c:v>
                </c:pt>
                <c:pt idx="95">
                  <c:v>16.456827949984561</c:v>
                </c:pt>
                <c:pt idx="96">
                  <c:v>12.679829358143328</c:v>
                </c:pt>
                <c:pt idx="97">
                  <c:v>15.411615817991516</c:v>
                </c:pt>
                <c:pt idx="98">
                  <c:v>24.265289600600124</c:v>
                </c:pt>
                <c:pt idx="99">
                  <c:v>17.058909551745639</c:v>
                </c:pt>
                <c:pt idx="100">
                  <c:v>14.026823272554914</c:v>
                </c:pt>
                <c:pt idx="101">
                  <c:v>23.510460525400415</c:v>
                </c:pt>
                <c:pt idx="102">
                  <c:v>17.731027290295277</c:v>
                </c:pt>
                <c:pt idx="103">
                  <c:v>14.828729151712995</c:v>
                </c:pt>
                <c:pt idx="104">
                  <c:v>20.336280278891078</c:v>
                </c:pt>
                <c:pt idx="105">
                  <c:v>18.084664187522627</c:v>
                </c:pt>
                <c:pt idx="106">
                  <c:v>6.2063957786994619</c:v>
                </c:pt>
                <c:pt idx="107">
                  <c:v>7.1841032673133611</c:v>
                </c:pt>
                <c:pt idx="108">
                  <c:v>3.660665885380709</c:v>
                </c:pt>
                <c:pt idx="109">
                  <c:v>19.733127935618572</c:v>
                </c:pt>
                <c:pt idx="110">
                  <c:v>14.925563833501958</c:v>
                </c:pt>
                <c:pt idx="111">
                  <c:v>21.217025469371091</c:v>
                </c:pt>
                <c:pt idx="112">
                  <c:v>13.909659056388918</c:v>
                </c:pt>
                <c:pt idx="113">
                  <c:v>16.454073845746073</c:v>
                </c:pt>
                <c:pt idx="114">
                  <c:v>15.388779093769774</c:v>
                </c:pt>
                <c:pt idx="115">
                  <c:v>13.050854110779719</c:v>
                </c:pt>
                <c:pt idx="116">
                  <c:v>12.059737842716959</c:v>
                </c:pt>
                <c:pt idx="117">
                  <c:v>6.6247625330598776</c:v>
                </c:pt>
                <c:pt idx="118">
                  <c:v>15.764791039394423</c:v>
                </c:pt>
                <c:pt idx="119">
                  <c:v>6.8803605002073231</c:v>
                </c:pt>
                <c:pt idx="120">
                  <c:v>14.535634545065896</c:v>
                </c:pt>
                <c:pt idx="121">
                  <c:v>7.9630617970289137</c:v>
                </c:pt>
                <c:pt idx="122">
                  <c:v>13.696769713100846</c:v>
                </c:pt>
                <c:pt idx="123">
                  <c:v>15.123036096636765</c:v>
                </c:pt>
                <c:pt idx="124">
                  <c:v>19.653512592020519</c:v>
                </c:pt>
                <c:pt idx="125">
                  <c:v>9.2047053157222525</c:v>
                </c:pt>
                <c:pt idx="126">
                  <c:v>10.695012357068096</c:v>
                </c:pt>
                <c:pt idx="127">
                  <c:v>6.6410093621024346</c:v>
                </c:pt>
                <c:pt idx="128">
                  <c:v>22.278282208461203</c:v>
                </c:pt>
                <c:pt idx="129">
                  <c:v>7.9995314409579672</c:v>
                </c:pt>
                <c:pt idx="130">
                  <c:v>10.444769829397387</c:v>
                </c:pt>
                <c:pt idx="131">
                  <c:v>15.717358501556994</c:v>
                </c:pt>
                <c:pt idx="132">
                  <c:v>8.4559900666325767</c:v>
                </c:pt>
                <c:pt idx="133">
                  <c:v>19.395291361315326</c:v>
                </c:pt>
                <c:pt idx="134">
                  <c:v>11.993434780394757</c:v>
                </c:pt>
                <c:pt idx="135">
                  <c:v>14.020068667466653</c:v>
                </c:pt>
                <c:pt idx="136">
                  <c:v>11.474759655387297</c:v>
                </c:pt>
                <c:pt idx="137">
                  <c:v>21.021611287673107</c:v>
                </c:pt>
                <c:pt idx="138">
                  <c:v>9.8230943526973835</c:v>
                </c:pt>
                <c:pt idx="139">
                  <c:v>19.693019430836053</c:v>
                </c:pt>
                <c:pt idx="140">
                  <c:v>9.532671278864175</c:v>
                </c:pt>
                <c:pt idx="141">
                  <c:v>18.596645358362583</c:v>
                </c:pt>
                <c:pt idx="142">
                  <c:v>19.361278359011262</c:v>
                </c:pt>
                <c:pt idx="143">
                  <c:v>8.8664756633306094</c:v>
                </c:pt>
                <c:pt idx="144">
                  <c:v>10.199426028314859</c:v>
                </c:pt>
                <c:pt idx="145">
                  <c:v>9.754803414380989</c:v>
                </c:pt>
                <c:pt idx="146">
                  <c:v>15.34789318959186</c:v>
                </c:pt>
                <c:pt idx="147">
                  <c:v>23.383846231381352</c:v>
                </c:pt>
                <c:pt idx="148">
                  <c:v>12.291594593527565</c:v>
                </c:pt>
                <c:pt idx="149">
                  <c:v>9.8823865009757608</c:v>
                </c:pt>
                <c:pt idx="150">
                  <c:v>18.489898007725721</c:v>
                </c:pt>
                <c:pt idx="151">
                  <c:v>10.14590927885045</c:v>
                </c:pt>
                <c:pt idx="152">
                  <c:v>16.416389122490461</c:v>
                </c:pt>
                <c:pt idx="153">
                  <c:v>18.327367317721453</c:v>
                </c:pt>
                <c:pt idx="154">
                  <c:v>15.546648686711713</c:v>
                </c:pt>
                <c:pt idx="155">
                  <c:v>5.328431449545068</c:v>
                </c:pt>
                <c:pt idx="156">
                  <c:v>15.509478845732042</c:v>
                </c:pt>
                <c:pt idx="157">
                  <c:v>10.098200763692789</c:v>
                </c:pt>
                <c:pt idx="158">
                  <c:v>10.49033225880445</c:v>
                </c:pt>
                <c:pt idx="159">
                  <c:v>12.49925468048475</c:v>
                </c:pt>
                <c:pt idx="160">
                  <c:v>14.308920547690818</c:v>
                </c:pt>
                <c:pt idx="161">
                  <c:v>13.682991843589875</c:v>
                </c:pt>
                <c:pt idx="162">
                  <c:v>15.031344852952524</c:v>
                </c:pt>
                <c:pt idx="163">
                  <c:v>17.383257195090337</c:v>
                </c:pt>
                <c:pt idx="164">
                  <c:v>11.098795722777066</c:v>
                </c:pt>
                <c:pt idx="165">
                  <c:v>14.459496840805443</c:v>
                </c:pt>
                <c:pt idx="166">
                  <c:v>10.874701581114184</c:v>
                </c:pt>
                <c:pt idx="167">
                  <c:v>13.439797679325279</c:v>
                </c:pt>
                <c:pt idx="168">
                  <c:v>17.347570071261767</c:v>
                </c:pt>
                <c:pt idx="169">
                  <c:v>17.993001663295015</c:v>
                </c:pt>
                <c:pt idx="170">
                  <c:v>7.4507656555578663</c:v>
                </c:pt>
                <c:pt idx="171">
                  <c:v>14.491252422863631</c:v>
                </c:pt>
                <c:pt idx="172">
                  <c:v>7.6538355277488881</c:v>
                </c:pt>
                <c:pt idx="173">
                  <c:v>12.027146527375024</c:v>
                </c:pt>
                <c:pt idx="174">
                  <c:v>13.808176281248647</c:v>
                </c:pt>
                <c:pt idx="175">
                  <c:v>24.9073716730706</c:v>
                </c:pt>
                <c:pt idx="176">
                  <c:v>20.052849377049181</c:v>
                </c:pt>
                <c:pt idx="177">
                  <c:v>12.271509222436562</c:v>
                </c:pt>
                <c:pt idx="178">
                  <c:v>16.106000065164981</c:v>
                </c:pt>
                <c:pt idx="179">
                  <c:v>12.450810287716084</c:v>
                </c:pt>
                <c:pt idx="180">
                  <c:v>10.63319249916796</c:v>
                </c:pt>
                <c:pt idx="181">
                  <c:v>14.02481445609229</c:v>
                </c:pt>
                <c:pt idx="182">
                  <c:v>6.640224144566119</c:v>
                </c:pt>
                <c:pt idx="183">
                  <c:v>24.328354621076624</c:v>
                </c:pt>
                <c:pt idx="184">
                  <c:v>18.639009197995005</c:v>
                </c:pt>
                <c:pt idx="185">
                  <c:v>20.864768049246617</c:v>
                </c:pt>
                <c:pt idx="186">
                  <c:v>9.7793880624421234</c:v>
                </c:pt>
                <c:pt idx="187">
                  <c:v>17.139651883077047</c:v>
                </c:pt>
                <c:pt idx="188">
                  <c:v>18.688248219600073</c:v>
                </c:pt>
                <c:pt idx="189">
                  <c:v>6.1159394886023586</c:v>
                </c:pt>
                <c:pt idx="190">
                  <c:v>12.502719825137785</c:v>
                </c:pt>
                <c:pt idx="191">
                  <c:v>8.4531781207425514</c:v>
                </c:pt>
                <c:pt idx="192">
                  <c:v>4.5529420619022094</c:v>
                </c:pt>
                <c:pt idx="193">
                  <c:v>18.507900752172219</c:v>
                </c:pt>
                <c:pt idx="194">
                  <c:v>16.522636731490753</c:v>
                </c:pt>
                <c:pt idx="195">
                  <c:v>5.4169607674047979</c:v>
                </c:pt>
                <c:pt idx="196">
                  <c:v>8.2036061801007243</c:v>
                </c:pt>
                <c:pt idx="197">
                  <c:v>12.826933207627883</c:v>
                </c:pt>
                <c:pt idx="198">
                  <c:v>23.949212693419906</c:v>
                </c:pt>
                <c:pt idx="199">
                  <c:v>13.607452568683611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2E-45D3-B4BA-8791A1EC4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659071"/>
        <c:axId val="1847659551"/>
      </c:scatterChart>
      <c:valAx>
        <c:axId val="184765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659551"/>
        <c:crosses val="autoZero"/>
        <c:crossBetween val="midCat"/>
      </c:valAx>
      <c:valAx>
        <c:axId val="18476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65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plotArea>
      <cx:plotAreaRegion>
        <cx:series layoutId="clusteredColumn" uniqueId="{1AF6920A-E6C8-4AE9-AE59-422D1E23530D}" formatIdx="0">
          <cx:tx>
            <cx:txData>
              <cx:f>_xlchart.v1.10</cx:f>
              <cx:v>TV</cx:v>
            </cx:txData>
          </cx:tx>
          <cx:dataLabels pos="outEnd">
            <cx:spPr>
              <a:noFill/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lang="en-US" sz="1600" b="0" i="0" u="none" strike="noStrike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 sz="1600" b="0" i="0" u="none" strike="noStrike" baseline="0">
                  <a:solidFill>
                    <a:schemeClr val="tx1"/>
                  </a:solidFill>
                  <a:latin typeface="Calibri" panose="020F050202020403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binning intervalClosed="r"/>
          </cx:layoutPr>
          <cx:axisId val="1"/>
        </cx:series>
        <cx:series layoutId="paretoLine" ownerIdx="0" uniqueId="{06E136C5-58D0-469F-9BB7-4B4D86FB4F2B}">
          <cx:axisId val="2"/>
        </cx:series>
      </cx:plotAreaRegion>
      <cx:axis id="0" hidden="1">
        <cx:catScaling gapWidth="0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 b="0" i="0" u="none" strike="noStrike" baseline="0">
                <a:solidFill>
                  <a:schemeClr val="tx1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200" b="0" i="0" u="none" strike="noStrike" baseline="0">
              <a:solidFill>
                <a:schemeClr val="tx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 hidden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 b="0" i="0" u="none" strike="noStrike" baseline="0">
                <a:solidFill>
                  <a:schemeClr val="tx1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200" b="0" i="0" u="none" strike="noStrike" baseline="0">
              <a:solidFill>
                <a:schemeClr val="tx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2">
        <cx:valScaling max="1" min="0"/>
        <cx:units unit="percentage"/>
        <cx:tickLabels/>
      </cx:axis>
    </cx:plotArea>
    <cx:legend pos="t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solidFill>
                <a:schemeClr val="tx1"/>
              </a:solidFill>
            </a:defRPr>
          </a:pPr>
          <a:endParaRPr lang="en-US" sz="1200" b="0" i="0" u="none" strike="noStrike" baseline="0">
            <a:solidFill>
              <a:schemeClr val="tx1"/>
            </a:solidFill>
            <a:latin typeface="Calibri" panose="020F050202020403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plotArea>
      <cx:plotAreaRegion>
        <cx:series layoutId="boxWhisker" uniqueId="{96AD0E64-4779-459A-B575-E515C88E0925}">
          <cx:tx>
            <cx:txData>
              <cx:f>_xlchart.v1.14</cx:f>
              <cx:v>TV</cx:v>
            </cx:txData>
          </cx:tx>
          <cx:dataLabels>
            <cx:numFmt formatCode="#,##0.00" sourceLinked="0"/>
            <cx:spPr>
              <a:noFill/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US" sz="14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tickLabels/>
      </cx:axis>
    </cx:plotArea>
    <cx:legend pos="t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solidFill>
                <a:schemeClr val="tx1"/>
              </a:solidFill>
            </a:defRPr>
          </a:pPr>
          <a:endParaRPr lang="en-US" sz="1200" b="0" i="0" u="none" strike="noStrike" baseline="0">
            <a:solidFill>
              <a:schemeClr val="tx1"/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EB94A47F-0A58-4365-AD84-B5883FCF1414}">
          <cx:tx>
            <cx:txData>
              <cx:f>_xlchart.v1.2</cx:f>
              <cx:v>Radio</cx:v>
            </cx:txData>
          </cx:tx>
          <cx:dataLabels>
            <cx:spPr>
              <a:noFill/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>
                    <a:solidFill>
                      <a:schemeClr val="bg1"/>
                    </a:solidFill>
                  </a:defRPr>
                </a:pPr>
                <a:endParaRPr lang="en-US" sz="1600" b="0" i="0" u="none" strike="noStrike" baseline="0">
                  <a:solidFill>
                    <a:schemeClr val="bg1"/>
                  </a:solidFill>
                  <a:latin typeface="Calibri" panose="020F050202020403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2B7AE6B2-B872-4AF6-A858-C0A3E943648E}">
          <cx:axisId val="2"/>
        </cx:series>
      </cx:plotAreaRegion>
      <cx:axis id="0" hidden="1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 b="0" i="0" u="none" strike="noStrike" baseline="0">
                <a:solidFill>
                  <a:schemeClr val="tx1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200" b="0" i="0" u="none" strike="noStrike" baseline="0">
              <a:solidFill>
                <a:schemeClr val="tx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 hidden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 b="0" i="0" u="none" strike="noStrike" baseline="0">
                <a:solidFill>
                  <a:schemeClr val="tx1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200" b="0" i="0" u="none" strike="noStrike" baseline="0">
              <a:solidFill>
                <a:schemeClr val="tx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 b="0" i="0" u="none" strike="noStrike" baseline="0">
                <a:solidFill>
                  <a:schemeClr val="tx1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200" b="0" i="0" u="none" strike="noStrike" baseline="0">
              <a:solidFill>
                <a:schemeClr val="tx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  <cx:legend pos="t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200" b="0" i="0" u="none" strike="noStrike" baseline="0">
              <a:solidFill>
                <a:schemeClr val="bg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 sz="1200" b="0" i="0" u="none" strike="noStrike" baseline="0">
            <a:solidFill>
              <a:schemeClr val="bg1"/>
            </a:solidFill>
            <a:latin typeface="Calibri" panose="020F050202020403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AC03DC07-8523-4E4B-B737-8CBB194E86AB}">
          <cx:tx>
            <cx:txData>
              <cx:f>_xlchart.v1.4</cx:f>
              <cx:v>Radio</cx:v>
            </cx:txData>
          </cx:tx>
          <cx:spPr>
            <a:solidFill>
              <a:schemeClr val="accent4">
                <a:lumMod val="75000"/>
              </a:schemeClr>
            </a:solidFill>
          </cx:spPr>
          <cx:dataLabels>
            <cx:numFmt formatCode="#,##0.00" sourceLinked="0"/>
            <cx:spPr>
              <a:noFill/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>
                    <a:solidFill>
                      <a:schemeClr val="bg1"/>
                    </a:solidFill>
                  </a:defRPr>
                </a:pPr>
                <a:endParaRPr lang="en-US" sz="1400" b="0" i="0" u="none" strike="noStrike" baseline="0">
                  <a:solidFill>
                    <a:schemeClr val="bg1"/>
                  </a:solidFill>
                  <a:latin typeface="Calibri" panose="020F050202020403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 b="0" i="0" u="none" strike="noStrike" baseline="0">
                <a:solidFill>
                  <a:schemeClr val="tx1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200" b="0" i="0" u="none" strike="noStrike" baseline="0">
              <a:solidFill>
                <a:schemeClr val="tx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200" b="0" i="0" u="none" strike="noStrike" baseline="0">
                <a:solidFill>
                  <a:schemeClr val="tx1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200" b="0" i="0" u="none" strike="noStrike" baseline="0">
              <a:solidFill>
                <a:schemeClr val="tx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  <cx:legend pos="t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200" b="0" i="0" u="none" strike="noStrike" baseline="0">
              <a:solidFill>
                <a:schemeClr val="bg1"/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 sz="1200" b="0" i="0" u="none" strike="noStrike" baseline="0">
            <a:solidFill>
              <a:schemeClr val="bg1"/>
            </a:solidFill>
            <a:latin typeface="Calibri" panose="020F050202020403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clusteredColumn" uniqueId="{5E447644-EEF5-4ADA-AA27-56D04EFBCC1C}">
          <cx:tx>
            <cx:txData>
              <cx:f>_xlchart.v1.6</cx:f>
              <cx:v>Newspaper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/>
                </a:pPr>
                <a:endParaRPr lang="en-US" sz="16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FCC24DC7-C7EA-4EA4-8008-E3289A3DD2BF}">
          <cx:axisId val="2"/>
        </cx:series>
      </cx:plotAreaRegion>
      <cx:axis id="0" hidden="1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solidFill>
                <a:schemeClr val="bg1"/>
              </a:solidFill>
            </a:defRPr>
          </a:pPr>
          <a:endParaRPr lang="en-US" sz="1200" b="0" i="0" u="none" strike="noStrike" baseline="0">
            <a:solidFill>
              <a:schemeClr val="bg1"/>
            </a:solidFill>
            <a:latin typeface="Calibri" panose="020F0502020204030204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plotArea>
      <cx:plotAreaRegion>
        <cx:series layoutId="boxWhisker" uniqueId="{8ABD4B26-19A8-44FD-A959-0550E71F41FD}">
          <cx:tx>
            <cx:txData>
              <cx:f>_xlchart.v1.12</cx:f>
              <cx:v>Newspaper</cx:v>
            </cx:txData>
          </cx:tx>
          <cx:spPr>
            <a:solidFill>
              <a:schemeClr val="accent2">
                <a:lumMod val="75000"/>
              </a:schemeClr>
            </a:solidFill>
          </cx:spPr>
          <cx:dataLabels pos="l">
            <cx:numFmt formatCode="#,##0.0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US" sz="14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en-US" sz="120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plotArea>
      <cx:plotAreaRegion>
        <cx:series layoutId="clusteredColumn" uniqueId="{66AD3086-065D-4E78-A3B2-09E27FEF95DA}">
          <cx:tx>
            <cx:txData>
              <cx:f>_xlchart.v1.8</cx:f>
              <cx:v>Sales</cx:v>
            </cx:txData>
          </cx:tx>
          <cx:dataLabels pos="outEnd">
            <cx:spPr>
              <a:noFill/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>
                    <a:solidFill>
                      <a:schemeClr val="tx1"/>
                    </a:solidFill>
                  </a:defRPr>
                </a:pPr>
                <a:endParaRPr lang="en-US" sz="16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binning intervalClosed="r"/>
          </cx:layoutPr>
          <cx:axisId val="1"/>
        </cx:series>
        <cx:series layoutId="paretoLine" ownerIdx="0" uniqueId="{C15A29FA-42CF-41E7-B2ED-FBEBE8F4B605}">
          <cx:axisId val="2"/>
        </cx:series>
      </cx:plotAreaRegion>
      <cx:axis id="0" hidden="1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en-US" sz="1200" b="0" i="0" u="none" strike="noStrike" baseline="0">
            <a:solidFill>
              <a:sysClr val="windowText" lastClr="000000">
                <a:lumMod val="75000"/>
                <a:lumOff val="25000"/>
              </a:sysClr>
            </a:solidFill>
            <a:latin typeface="Calibri" panose="020F0502020204030204"/>
          </a:endParaRPr>
        </a:p>
      </cx:txPr>
    </cx:legend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9E6657E9-CCBB-4461-ADFD-F0BA2C80E5D4}">
          <cx:tx>
            <cx:txData>
              <cx:f>_xlchart.v1.0</cx:f>
              <cx:v>Sales</cx:v>
            </cx:txData>
          </cx:tx>
          <cx:dataLabels pos="l">
            <cx:numFmt formatCode="#,##0.0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en-US" sz="1200" b="0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majorGridlines/>
        <cx:tickLabels/>
      </cx:axis>
      <cx:axis id="1">
        <cx:valScaling/>
        <cx:majorGridlines/>
        <cx:tickLabels/>
      </cx:axis>
    </cx:plotArea>
    <cx:legend pos="t" align="ctr" overlay="0"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en-US" sz="1200" b="0" i="0" u="none" strike="noStrike" baseline="0">
            <a:solidFill>
              <a:sysClr val="windowText" lastClr="000000">
                <a:lumMod val="75000"/>
                <a:lumOff val="2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0</xdr:row>
      <xdr:rowOff>0</xdr:rowOff>
    </xdr:from>
    <xdr:to>
      <xdr:col>11</xdr:col>
      <xdr:colOff>464820</xdr:colOff>
      <xdr:row>28</xdr:row>
      <xdr:rowOff>68580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2BE702C-3653-4E4A-AA29-4B697618239C}"/>
            </a:ext>
          </a:extLst>
        </xdr:cNvPr>
        <xdr:cNvGrpSpPr/>
      </xdr:nvGrpSpPr>
      <xdr:grpSpPr>
        <a:xfrm>
          <a:off x="6710875" y="0"/>
          <a:ext cx="3261360" cy="5965288"/>
          <a:chOff x="7246620" y="213360"/>
          <a:chExt cx="3314700" cy="5311140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3" name="Chart 2">
                <a:extLst>
                  <a:ext uri="{FF2B5EF4-FFF2-40B4-BE49-F238E27FC236}">
                    <a16:creationId xmlns:a16="http://schemas.microsoft.com/office/drawing/2014/main" id="{0E3EAD27-D85E-EF30-5F29-F1A0BBD72488}"/>
                  </a:ext>
                </a:extLst>
              </xdr:cNvPr>
              <xdr:cNvGraphicFramePr/>
            </xdr:nvGraphicFramePr>
            <xdr:xfrm>
              <a:off x="7246620" y="213360"/>
              <a:ext cx="3307080" cy="275844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246620" y="213360"/>
                <a:ext cx="3307080" cy="275844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4" name="Chart 3">
                <a:extLst>
                  <a:ext uri="{FF2B5EF4-FFF2-40B4-BE49-F238E27FC236}">
                    <a16:creationId xmlns:a16="http://schemas.microsoft.com/office/drawing/2014/main" id="{D74156FE-7906-0318-9201-08241AE74C79}"/>
                  </a:ext>
                </a:extLst>
              </xdr:cNvPr>
              <xdr:cNvGraphicFramePr/>
            </xdr:nvGraphicFramePr>
            <xdr:xfrm>
              <a:off x="7277100" y="2994660"/>
              <a:ext cx="3284220" cy="252984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277100" y="2994660"/>
                <a:ext cx="3284220" cy="252984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  <xdr:twoCellAnchor>
    <xdr:from>
      <xdr:col>11</xdr:col>
      <xdr:colOff>480060</xdr:colOff>
      <xdr:row>0</xdr:row>
      <xdr:rowOff>0</xdr:rowOff>
    </xdr:from>
    <xdr:to>
      <xdr:col>17</xdr:col>
      <xdr:colOff>251460</xdr:colOff>
      <xdr:row>28</xdr:row>
      <xdr:rowOff>83820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887A12C-297D-40A8-91B1-C1E300590726}"/>
            </a:ext>
          </a:extLst>
        </xdr:cNvPr>
        <xdr:cNvGrpSpPr/>
      </xdr:nvGrpSpPr>
      <xdr:grpSpPr>
        <a:xfrm>
          <a:off x="9987475" y="0"/>
          <a:ext cx="3429000" cy="5980528"/>
          <a:chOff x="7520940" y="15240"/>
          <a:chExt cx="4069080" cy="5181600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6" name="Chart 5">
                <a:extLst>
                  <a:ext uri="{FF2B5EF4-FFF2-40B4-BE49-F238E27FC236}">
                    <a16:creationId xmlns:a16="http://schemas.microsoft.com/office/drawing/2014/main" id="{4C959265-03C8-A20B-281A-072953797139}"/>
                  </a:ext>
                </a:extLst>
              </xdr:cNvPr>
              <xdr:cNvGraphicFramePr/>
            </xdr:nvGraphicFramePr>
            <xdr:xfrm>
              <a:off x="7528560" y="15240"/>
              <a:ext cx="4061460" cy="275082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528560" y="15240"/>
                <a:ext cx="4061460" cy="275082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7" name="Chart 6">
                <a:extLst>
                  <a:ext uri="{FF2B5EF4-FFF2-40B4-BE49-F238E27FC236}">
                    <a16:creationId xmlns:a16="http://schemas.microsoft.com/office/drawing/2014/main" id="{FE63B656-36D8-702A-0428-95E297B446C3}"/>
                  </a:ext>
                </a:extLst>
              </xdr:cNvPr>
              <xdr:cNvGraphicFramePr/>
            </xdr:nvGraphicFramePr>
            <xdr:xfrm>
              <a:off x="7520940" y="2773680"/>
              <a:ext cx="4061460" cy="242316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520940" y="2773680"/>
                <a:ext cx="4061460" cy="24231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  <xdr:twoCellAnchor>
    <xdr:from>
      <xdr:col>17</xdr:col>
      <xdr:colOff>259080</xdr:colOff>
      <xdr:row>0</xdr:row>
      <xdr:rowOff>0</xdr:rowOff>
    </xdr:from>
    <xdr:to>
      <xdr:col>23</xdr:col>
      <xdr:colOff>220980</xdr:colOff>
      <xdr:row>28</xdr:row>
      <xdr:rowOff>91440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1198449-BD0B-4A3D-B42F-7F8980D5FC90}"/>
            </a:ext>
          </a:extLst>
        </xdr:cNvPr>
        <xdr:cNvGrpSpPr/>
      </xdr:nvGrpSpPr>
      <xdr:grpSpPr>
        <a:xfrm>
          <a:off x="13424095" y="0"/>
          <a:ext cx="3619500" cy="5988148"/>
          <a:chOff x="7741920" y="68580"/>
          <a:chExt cx="3619500" cy="5173980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9" name="Chart 8">
                <a:extLst>
                  <a:ext uri="{FF2B5EF4-FFF2-40B4-BE49-F238E27FC236}">
                    <a16:creationId xmlns:a16="http://schemas.microsoft.com/office/drawing/2014/main" id="{D31B6E7D-00CB-3F19-0491-5A0EC14FC1B1}"/>
                  </a:ext>
                </a:extLst>
              </xdr:cNvPr>
              <xdr:cNvGraphicFramePr/>
            </xdr:nvGraphicFramePr>
            <xdr:xfrm>
              <a:off x="7741920" y="68580"/>
              <a:ext cx="3619500" cy="272034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741920" y="68580"/>
                <a:ext cx="3619500" cy="272034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10" name="Chart 9">
                <a:extLst>
                  <a:ext uri="{FF2B5EF4-FFF2-40B4-BE49-F238E27FC236}">
                    <a16:creationId xmlns:a16="http://schemas.microsoft.com/office/drawing/2014/main" id="{CED946D3-6ACC-9A41-2788-6A134334D4A9}"/>
                  </a:ext>
                </a:extLst>
              </xdr:cNvPr>
              <xdr:cNvGraphicFramePr/>
            </xdr:nvGraphicFramePr>
            <xdr:xfrm>
              <a:off x="7757160" y="2773680"/>
              <a:ext cx="3604260" cy="246888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6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757160" y="2773680"/>
                <a:ext cx="3604260" cy="246888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  <xdr:twoCellAnchor>
    <xdr:from>
      <xdr:col>23</xdr:col>
      <xdr:colOff>236220</xdr:colOff>
      <xdr:row>0</xdr:row>
      <xdr:rowOff>15240</xdr:rowOff>
    </xdr:from>
    <xdr:to>
      <xdr:col>29</xdr:col>
      <xdr:colOff>365760</xdr:colOff>
      <xdr:row>28</xdr:row>
      <xdr:rowOff>91440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B580639-544B-40C9-90AE-C2ED2C242E15}"/>
            </a:ext>
          </a:extLst>
        </xdr:cNvPr>
        <xdr:cNvGrpSpPr/>
      </xdr:nvGrpSpPr>
      <xdr:grpSpPr>
        <a:xfrm>
          <a:off x="17058835" y="15240"/>
          <a:ext cx="3787140" cy="5972908"/>
          <a:chOff x="7307580" y="22860"/>
          <a:chExt cx="3108960" cy="4297680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12" name="Chart 11">
                <a:extLst>
                  <a:ext uri="{FF2B5EF4-FFF2-40B4-BE49-F238E27FC236}">
                    <a16:creationId xmlns:a16="http://schemas.microsoft.com/office/drawing/2014/main" id="{5E2F758B-2E83-7CC4-DB6E-BAE09781169D}"/>
                  </a:ext>
                </a:extLst>
              </xdr:cNvPr>
              <xdr:cNvGraphicFramePr/>
            </xdr:nvGraphicFramePr>
            <xdr:xfrm>
              <a:off x="7315200" y="22860"/>
              <a:ext cx="3093720" cy="224028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7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315200" y="22860"/>
                <a:ext cx="3093720" cy="224028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13" name="Chart 12">
                <a:extLst>
                  <a:ext uri="{FF2B5EF4-FFF2-40B4-BE49-F238E27FC236}">
                    <a16:creationId xmlns:a16="http://schemas.microsoft.com/office/drawing/2014/main" id="{456A907F-2444-8B7E-4DD8-D08E3243DBB6}"/>
                  </a:ext>
                </a:extLst>
              </xdr:cNvPr>
              <xdr:cNvGraphicFramePr/>
            </xdr:nvGraphicFramePr>
            <xdr:xfrm>
              <a:off x="7307580" y="2270760"/>
              <a:ext cx="3108960" cy="204978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8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307580" y="2270760"/>
                <a:ext cx="3108960" cy="204978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0</xdr:rowOff>
    </xdr:from>
    <xdr:to>
      <xdr:col>16</xdr:col>
      <xdr:colOff>601980</xdr:colOff>
      <xdr:row>9</xdr:row>
      <xdr:rowOff>76200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E4631CE4-6826-47D3-631E-98ECE3BCBD92}"/>
            </a:ext>
          </a:extLst>
        </xdr:cNvPr>
        <xdr:cNvGrpSpPr/>
      </xdr:nvGrpSpPr>
      <xdr:grpSpPr>
        <a:xfrm>
          <a:off x="6050280" y="0"/>
          <a:ext cx="6507480" cy="2217420"/>
          <a:chOff x="4899660" y="0"/>
          <a:chExt cx="6880860" cy="212598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B3F9B62-6DB6-53CC-9786-70B40B9C0833}"/>
              </a:ext>
            </a:extLst>
          </xdr:cNvPr>
          <xdr:cNvGraphicFramePr/>
        </xdr:nvGraphicFramePr>
        <xdr:xfrm>
          <a:off x="7962901" y="0"/>
          <a:ext cx="3817619" cy="21259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974FDE45-23AA-CE0E-EC50-B54921CCF4D4}"/>
              </a:ext>
            </a:extLst>
          </xdr:cNvPr>
          <xdr:cNvGraphicFramePr/>
        </xdr:nvGraphicFramePr>
        <xdr:xfrm>
          <a:off x="4899660" y="60960"/>
          <a:ext cx="2994660" cy="2049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4</xdr:col>
      <xdr:colOff>22860</xdr:colOff>
      <xdr:row>14</xdr:row>
      <xdr:rowOff>53340</xdr:rowOff>
    </xdr:from>
    <xdr:to>
      <xdr:col>16</xdr:col>
      <xdr:colOff>487680</xdr:colOff>
      <xdr:row>23</xdr:row>
      <xdr:rowOff>99060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240D197D-C3B1-DBDE-E0C3-23261B7655EB}"/>
            </a:ext>
          </a:extLst>
        </xdr:cNvPr>
        <xdr:cNvGrpSpPr/>
      </xdr:nvGrpSpPr>
      <xdr:grpSpPr>
        <a:xfrm>
          <a:off x="6019800" y="3185160"/>
          <a:ext cx="6423660" cy="1874520"/>
          <a:chOff x="4716780" y="3070860"/>
          <a:chExt cx="6553200" cy="181356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F57B9B75-0645-BC9D-A4DC-0FCF863D5872}"/>
              </a:ext>
            </a:extLst>
          </xdr:cNvPr>
          <xdr:cNvGraphicFramePr/>
        </xdr:nvGraphicFramePr>
        <xdr:xfrm>
          <a:off x="4716780" y="3070860"/>
          <a:ext cx="3322320" cy="17602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BBCF62E7-C9F3-5118-7E43-7987E0076A2E}"/>
              </a:ext>
            </a:extLst>
          </xdr:cNvPr>
          <xdr:cNvGraphicFramePr/>
        </xdr:nvGraphicFramePr>
        <xdr:xfrm>
          <a:off x="8084820" y="3070860"/>
          <a:ext cx="3185160" cy="18135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33127</xdr:colOff>
      <xdr:row>20</xdr:row>
      <xdr:rowOff>138692</xdr:rowOff>
    </xdr:from>
    <xdr:to>
      <xdr:col>4</xdr:col>
      <xdr:colOff>497511</xdr:colOff>
      <xdr:row>41</xdr:row>
      <xdr:rowOff>140804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635B15F-E4A4-4DA0-ECB6-59EF017C6BA7}"/>
            </a:ext>
          </a:extLst>
        </xdr:cNvPr>
        <xdr:cNvGrpSpPr/>
      </xdr:nvGrpSpPr>
      <xdr:grpSpPr>
        <a:xfrm>
          <a:off x="1316931" y="4255149"/>
          <a:ext cx="3851971" cy="3977764"/>
          <a:chOff x="8717276" y="525778"/>
          <a:chExt cx="3665224" cy="3726182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AE4536D0-DC71-1C9B-0E9D-EC1A3F15529A}"/>
              </a:ext>
            </a:extLst>
          </xdr:cNvPr>
          <xdr:cNvGraphicFramePr/>
        </xdr:nvGraphicFramePr>
        <xdr:xfrm>
          <a:off x="8717276" y="525778"/>
          <a:ext cx="3657599" cy="18516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9C21E532-3038-2A21-5E21-B6D9242C03F8}"/>
              </a:ext>
            </a:extLst>
          </xdr:cNvPr>
          <xdr:cNvGraphicFramePr/>
        </xdr:nvGraphicFramePr>
        <xdr:xfrm>
          <a:off x="8724900" y="2392680"/>
          <a:ext cx="3657600" cy="18592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4</xdr:col>
      <xdr:colOff>525449</xdr:colOff>
      <xdr:row>20</xdr:row>
      <xdr:rowOff>136398</xdr:rowOff>
    </xdr:from>
    <xdr:to>
      <xdr:col>7</xdr:col>
      <xdr:colOff>1047254</xdr:colOff>
      <xdr:row>41</xdr:row>
      <xdr:rowOff>98297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F95355D8-1EC1-B891-2835-319AEAB4969A}"/>
            </a:ext>
          </a:extLst>
        </xdr:cNvPr>
        <xdr:cNvGrpSpPr/>
      </xdr:nvGrpSpPr>
      <xdr:grpSpPr>
        <a:xfrm>
          <a:off x="5196840" y="4252855"/>
          <a:ext cx="3660914" cy="3937551"/>
          <a:chOff x="12588240" y="495300"/>
          <a:chExt cx="3657602" cy="37338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6F8F54F-5E29-AA58-AAA0-BE93E5158A10}"/>
              </a:ext>
            </a:extLst>
          </xdr:cNvPr>
          <xdr:cNvGraphicFramePr/>
        </xdr:nvGraphicFramePr>
        <xdr:xfrm>
          <a:off x="12588242" y="495300"/>
          <a:ext cx="3657600" cy="18440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96DA1DE8-52F7-A263-332D-9195F6A3110A}"/>
              </a:ext>
            </a:extLst>
          </xdr:cNvPr>
          <xdr:cNvGraphicFramePr/>
        </xdr:nvGraphicFramePr>
        <xdr:xfrm>
          <a:off x="12588240" y="2377440"/>
          <a:ext cx="3657600" cy="18516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8</xdr:col>
      <xdr:colOff>38479</xdr:colOff>
      <xdr:row>20</xdr:row>
      <xdr:rowOff>140815</xdr:rowOff>
    </xdr:from>
    <xdr:to>
      <xdr:col>14</xdr:col>
      <xdr:colOff>49695</xdr:colOff>
      <xdr:row>41</xdr:row>
      <xdr:rowOff>115955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96D3B0DB-4250-30F9-98A8-7333E80AA856}"/>
            </a:ext>
          </a:extLst>
        </xdr:cNvPr>
        <xdr:cNvGrpSpPr/>
      </xdr:nvGrpSpPr>
      <xdr:grpSpPr>
        <a:xfrm>
          <a:off x="8909153" y="4257272"/>
          <a:ext cx="4135955" cy="3950792"/>
          <a:chOff x="16428718" y="457200"/>
          <a:chExt cx="3657602" cy="37338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96C52BDE-7660-7CE1-DD28-CC37375ECB70}"/>
              </a:ext>
            </a:extLst>
          </xdr:cNvPr>
          <xdr:cNvGraphicFramePr/>
        </xdr:nvGraphicFramePr>
        <xdr:xfrm>
          <a:off x="16428718" y="457200"/>
          <a:ext cx="3657600" cy="18516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0C3FA6FC-0F60-755F-A815-2A66169C6195}"/>
              </a:ext>
            </a:extLst>
          </xdr:cNvPr>
          <xdr:cNvGraphicFramePr/>
        </xdr:nvGraphicFramePr>
        <xdr:xfrm>
          <a:off x="16428720" y="2339340"/>
          <a:ext cx="3657600" cy="18516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7</xdr:col>
      <xdr:colOff>157370</xdr:colOff>
      <xdr:row>0</xdr:row>
      <xdr:rowOff>99390</xdr:rowOff>
    </xdr:from>
    <xdr:to>
      <xdr:col>13</xdr:col>
      <xdr:colOff>157370</xdr:colOff>
      <xdr:row>13</xdr:row>
      <xdr:rowOff>67916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BCF8E21-9583-4BE0-806F-B5B3F8E62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E5B5-2527-47B2-9603-3396F511FB4C}">
  <dimension ref="A1:S205"/>
  <sheetViews>
    <sheetView tabSelected="1" workbookViewId="0">
      <selection activeCell="C203" sqref="C203"/>
    </sheetView>
  </sheetViews>
  <sheetFormatPr defaultRowHeight="14.4" x14ac:dyDescent="0.3"/>
  <cols>
    <col min="1" max="5" width="13.77734375" customWidth="1"/>
    <col min="6" max="6" width="13.77734375" style="11" customWidth="1"/>
    <col min="7" max="7" width="16" style="11" bestFit="1" customWidth="1"/>
    <col min="8" max="8" width="21.44140625" style="11" bestFit="1" customWidth="1"/>
    <col min="9" max="9" width="15.6640625" style="13" customWidth="1"/>
    <col min="10" max="10" width="19.6640625" style="13" bestFit="1" customWidth="1"/>
    <col min="11" max="11" width="23.33203125" style="32" bestFit="1" customWidth="1"/>
    <col min="12" max="15" width="19.6640625" style="32" customWidth="1"/>
  </cols>
  <sheetData>
    <row r="1" spans="1:19" ht="30.6" customHeight="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46</v>
      </c>
      <c r="G1" s="1" t="s">
        <v>45</v>
      </c>
      <c r="H1" s="1" t="s">
        <v>47</v>
      </c>
      <c r="I1" s="1" t="s">
        <v>92</v>
      </c>
      <c r="J1" s="1" t="s">
        <v>91</v>
      </c>
      <c r="K1" s="44" t="s">
        <v>103</v>
      </c>
      <c r="L1" s="44" t="s">
        <v>104</v>
      </c>
      <c r="M1" s="44" t="s">
        <v>105</v>
      </c>
      <c r="N1" s="44" t="s">
        <v>76</v>
      </c>
      <c r="O1" s="31"/>
      <c r="P1" s="81" t="s">
        <v>5</v>
      </c>
      <c r="Q1" s="81"/>
      <c r="R1" s="81"/>
      <c r="S1" s="82"/>
    </row>
    <row r="2" spans="1:19" ht="15.6" x14ac:dyDescent="0.3">
      <c r="A2" s="2">
        <v>1</v>
      </c>
      <c r="B2" s="2">
        <v>230.1</v>
      </c>
      <c r="C2" s="2">
        <v>37.799999999999997</v>
      </c>
      <c r="D2" s="2">
        <v>69.2</v>
      </c>
      <c r="E2" s="2">
        <v>22.1</v>
      </c>
      <c r="F2" s="17">
        <f>(B2-AVERAGE($B$2:$B$201))/_xlfn.STDEV.S($B$2:$B$201)</f>
        <v>0.96742459737630349</v>
      </c>
      <c r="G2" s="16">
        <f>(C2-AVERAGE($C$2:$C$201))/_xlfn.STDEV.S($C$2:$C$201)</f>
        <v>0.97833523405335354</v>
      </c>
      <c r="H2" s="16">
        <f>(D2-AVERAGE($D$2:$D$201))/_xlfn.STDEV.S($D$2:$D$201)</f>
        <v>1.7744925303828942</v>
      </c>
      <c r="I2" s="74">
        <f>$E2-$J2</f>
        <v>1.3908500396245529</v>
      </c>
      <c r="J2" s="74">
        <f>$N$2 + $M$2*B2 + $L$2*C2 - $K$2*D2</f>
        <v>20.709149960375449</v>
      </c>
      <c r="K2" s="36" cm="1">
        <f t="array" ref="K2:N6">LINEST(E2:E201, B2:D201, TRUE, TRUE)</f>
        <v>-1.3436041101123381E-3</v>
      </c>
      <c r="L2" s="74">
        <v>0.18815191162793951</v>
      </c>
      <c r="M2" s="74">
        <v>4.5866458253036424E-2</v>
      </c>
      <c r="N2" s="74">
        <v>2.9501582523958803</v>
      </c>
      <c r="O2" s="78"/>
    </row>
    <row r="3" spans="1:19" ht="15.6" x14ac:dyDescent="0.3">
      <c r="A3" s="2">
        <v>2</v>
      </c>
      <c r="B3" s="2">
        <v>44.5</v>
      </c>
      <c r="C3" s="2">
        <v>39.299999999999997</v>
      </c>
      <c r="D3" s="2">
        <v>45.1</v>
      </c>
      <c r="E3" s="2">
        <v>10.4</v>
      </c>
      <c r="F3" s="17">
        <f t="shared" ref="F3:F66" si="0">(B3-AVERAGE($B$2:$B$201))/_xlfn.STDEV.S($B$2:$B$201)</f>
        <v>-1.1943790359264315</v>
      </c>
      <c r="G3" s="16">
        <f t="shared" ref="G3:G66" si="1">(C3-AVERAGE($C$2:$C$201))/_xlfn.STDEV.S($C$2:$C$201)</f>
        <v>1.0789939109914173</v>
      </c>
      <c r="H3" s="16">
        <f t="shared" ref="H3:H66" si="2">(D3-AVERAGE($D$2:$D$201))/_xlfn.STDEV.S($D$2:$D$201)</f>
        <v>0.66790271559668757</v>
      </c>
      <c r="I3" s="74">
        <f t="shared" ref="I3:I66" si="3">$E3-$J3</f>
        <v>-2.0461823170000901</v>
      </c>
      <c r="J3" s="74">
        <f t="shared" ref="J3:J66" si="4">$N$2 + $M$2*B3 + $L$2*C3 - $K$2*D3</f>
        <v>12.44618231700009</v>
      </c>
      <c r="K3" s="74">
        <v>5.8583567931589104E-3</v>
      </c>
      <c r="L3" s="74">
        <v>8.5595344095389866E-3</v>
      </c>
      <c r="M3" s="74">
        <v>1.3907567902803424E-3</v>
      </c>
      <c r="N3" s="74">
        <v>0.31074516712882405</v>
      </c>
      <c r="O3" s="78"/>
    </row>
    <row r="4" spans="1:19" ht="15.6" x14ac:dyDescent="0.3">
      <c r="A4" s="2">
        <v>3</v>
      </c>
      <c r="B4" s="2">
        <v>17.2</v>
      </c>
      <c r="C4" s="2">
        <v>45.9</v>
      </c>
      <c r="D4" s="2">
        <v>69.3</v>
      </c>
      <c r="E4" s="2">
        <v>9.3000000000000007</v>
      </c>
      <c r="F4" s="17">
        <f t="shared" si="0"/>
        <v>-1.5123598505232241</v>
      </c>
      <c r="G4" s="16">
        <f t="shared" si="1"/>
        <v>1.5218920895188983</v>
      </c>
      <c r="H4" s="16">
        <f t="shared" si="2"/>
        <v>1.7790841893654095</v>
      </c>
      <c r="I4" s="74">
        <f t="shared" si="3"/>
        <v>-3.1683458429013154</v>
      </c>
      <c r="J4" s="74">
        <f t="shared" si="4"/>
        <v>12.468345842901316</v>
      </c>
      <c r="K4" s="74">
        <v>0.89779538652343172</v>
      </c>
      <c r="L4" s="74">
        <v>1.6807092680072402</v>
      </c>
      <c r="M4" s="74" t="e">
        <v>#N/A</v>
      </c>
      <c r="N4" s="74" t="e">
        <v>#N/A</v>
      </c>
      <c r="O4" s="78"/>
      <c r="P4" s="15"/>
    </row>
    <row r="5" spans="1:19" ht="15.6" x14ac:dyDescent="0.3">
      <c r="A5" s="2">
        <v>4</v>
      </c>
      <c r="B5" s="2">
        <v>151.5</v>
      </c>
      <c r="C5" s="2">
        <v>41.3</v>
      </c>
      <c r="D5" s="2">
        <v>58.5</v>
      </c>
      <c r="E5" s="2">
        <v>18.5</v>
      </c>
      <c r="F5" s="17">
        <f t="shared" si="0"/>
        <v>5.1919394910813384E-2</v>
      </c>
      <c r="G5" s="16">
        <f t="shared" si="1"/>
        <v>1.2132054802421692</v>
      </c>
      <c r="H5" s="16">
        <f t="shared" si="2"/>
        <v>1.2831850192537484</v>
      </c>
      <c r="I5" s="74">
        <f t="shared" si="3"/>
        <v>0.75179853159363219</v>
      </c>
      <c r="J5" s="74">
        <f t="shared" si="4"/>
        <v>17.748201468406368</v>
      </c>
      <c r="K5" s="74">
        <v>573.90721668657181</v>
      </c>
      <c r="L5" s="74">
        <v>196</v>
      </c>
      <c r="M5" s="74" t="e">
        <v>#N/A</v>
      </c>
      <c r="N5" s="74" t="e">
        <v>#N/A</v>
      </c>
      <c r="O5" s="78"/>
    </row>
    <row r="6" spans="1:19" ht="15.6" x14ac:dyDescent="0.3">
      <c r="A6" s="2">
        <v>5</v>
      </c>
      <c r="B6" s="2">
        <v>180.8</v>
      </c>
      <c r="C6" s="2">
        <v>10.8</v>
      </c>
      <c r="D6" s="2">
        <v>58.4</v>
      </c>
      <c r="E6" s="2">
        <v>12.9</v>
      </c>
      <c r="F6" s="17">
        <f t="shared" si="0"/>
        <v>0.3931955072802647</v>
      </c>
      <c r="G6" s="16">
        <f t="shared" si="1"/>
        <v>-0.83352095083179534</v>
      </c>
      <c r="H6" s="16">
        <f t="shared" si="2"/>
        <v>1.2785933602712329</v>
      </c>
      <c r="I6" s="74">
        <f t="shared" si="3"/>
        <v>-0.45332103015717173</v>
      </c>
      <c r="J6" s="74">
        <f t="shared" si="4"/>
        <v>13.353321030157172</v>
      </c>
      <c r="K6" s="74">
        <v>4863.491155861173</v>
      </c>
      <c r="L6" s="74">
        <v>553.65759413882495</v>
      </c>
      <c r="M6" s="74" t="e">
        <v>#N/A</v>
      </c>
      <c r="N6" s="74" t="e">
        <v>#N/A</v>
      </c>
      <c r="O6" s="78"/>
    </row>
    <row r="7" spans="1:19" ht="28.2" customHeight="1" x14ac:dyDescent="0.3">
      <c r="A7" s="2">
        <v>6</v>
      </c>
      <c r="B7" s="2">
        <v>8.6999999999999993</v>
      </c>
      <c r="C7" s="2">
        <v>48.9</v>
      </c>
      <c r="D7" s="2">
        <v>75</v>
      </c>
      <c r="E7" s="2">
        <v>7.2</v>
      </c>
      <c r="F7" s="17">
        <f t="shared" si="0"/>
        <v>-1.6113648660570239</v>
      </c>
      <c r="G7" s="16">
        <f t="shared" si="1"/>
        <v>1.723209443395026</v>
      </c>
      <c r="H7" s="16">
        <f t="shared" si="2"/>
        <v>2.040808751368786</v>
      </c>
      <c r="I7" s="74">
        <f t="shared" si="3"/>
        <v>-5.4505952260619663</v>
      </c>
      <c r="J7" s="74">
        <f t="shared" si="4"/>
        <v>12.650595226061967</v>
      </c>
      <c r="K7" s="83" t="s">
        <v>102</v>
      </c>
      <c r="L7" s="84"/>
      <c r="M7" s="84"/>
      <c r="N7" s="84"/>
      <c r="O7" s="78"/>
    </row>
    <row r="8" spans="1:19" ht="15.6" x14ac:dyDescent="0.3">
      <c r="A8" s="2">
        <v>7</v>
      </c>
      <c r="B8" s="2">
        <v>57.5</v>
      </c>
      <c r="C8" s="2">
        <v>32.799999999999997</v>
      </c>
      <c r="D8" s="2">
        <v>23.5</v>
      </c>
      <c r="E8" s="2">
        <v>11.8</v>
      </c>
      <c r="F8" s="17">
        <f t="shared" si="0"/>
        <v>-1.0429596004041495</v>
      </c>
      <c r="G8" s="16">
        <f t="shared" si="1"/>
        <v>0.64280631092647411</v>
      </c>
      <c r="H8" s="16">
        <f t="shared" si="2"/>
        <v>-0.32389562462663468</v>
      </c>
      <c r="I8" s="74">
        <f t="shared" si="3"/>
        <v>9.5630000704716167E-3</v>
      </c>
      <c r="J8" s="74">
        <f t="shared" si="4"/>
        <v>11.790436999929529</v>
      </c>
      <c r="K8" s="78"/>
      <c r="L8" s="78"/>
      <c r="M8" s="78"/>
      <c r="N8" s="78"/>
      <c r="O8" s="78"/>
    </row>
    <row r="9" spans="1:19" ht="15.6" x14ac:dyDescent="0.3">
      <c r="A9" s="2">
        <v>8</v>
      </c>
      <c r="B9" s="2">
        <v>120.2</v>
      </c>
      <c r="C9" s="2">
        <v>19.600000000000001</v>
      </c>
      <c r="D9" s="2">
        <v>11.6</v>
      </c>
      <c r="E9" s="2">
        <v>13.2</v>
      </c>
      <c r="F9" s="17">
        <f t="shared" si="0"/>
        <v>-0.31265201523129654</v>
      </c>
      <c r="G9" s="16">
        <f t="shared" si="1"/>
        <v>-0.24299004612848746</v>
      </c>
      <c r="H9" s="16">
        <f t="shared" si="2"/>
        <v>-0.87030304354596488</v>
      </c>
      <c r="I9" s="74">
        <f t="shared" si="3"/>
        <v>1.0333301900042233</v>
      </c>
      <c r="J9" s="74">
        <f t="shared" si="4"/>
        <v>12.166669809995776</v>
      </c>
      <c r="K9" s="78"/>
      <c r="L9" s="78"/>
      <c r="M9" s="78"/>
      <c r="N9" s="78"/>
      <c r="O9" s="78"/>
    </row>
    <row r="10" spans="1:19" ht="15.6" x14ac:dyDescent="0.3">
      <c r="A10" s="2">
        <v>9</v>
      </c>
      <c r="B10" s="2">
        <v>8.6</v>
      </c>
      <c r="C10" s="2">
        <v>2.1</v>
      </c>
      <c r="D10" s="2">
        <v>1</v>
      </c>
      <c r="E10" s="2">
        <v>4.8</v>
      </c>
      <c r="F10" s="17">
        <f t="shared" si="0"/>
        <v>-1.6125296309456567</v>
      </c>
      <c r="G10" s="16">
        <f t="shared" si="1"/>
        <v>-1.4173412770725655</v>
      </c>
      <c r="H10" s="16">
        <f t="shared" si="2"/>
        <v>-1.3570188956925953</v>
      </c>
      <c r="I10" s="74">
        <f t="shared" si="3"/>
        <v>1.0589275880992206</v>
      </c>
      <c r="J10" s="74">
        <f t="shared" si="4"/>
        <v>3.7410724119007792</v>
      </c>
      <c r="K10" s="78"/>
      <c r="L10" s="78"/>
      <c r="M10" s="78"/>
      <c r="N10" s="78"/>
      <c r="O10" s="78"/>
    </row>
    <row r="11" spans="1:19" ht="15.6" x14ac:dyDescent="0.3">
      <c r="A11" s="2">
        <v>10</v>
      </c>
      <c r="B11" s="2">
        <v>199.8</v>
      </c>
      <c r="C11" s="2">
        <v>2.6</v>
      </c>
      <c r="D11" s="2">
        <v>21.2</v>
      </c>
      <c r="E11" s="2">
        <v>10.6</v>
      </c>
      <c r="F11" s="17">
        <f t="shared" si="0"/>
        <v>0.61450083612052309</v>
      </c>
      <c r="G11" s="16">
        <f t="shared" si="1"/>
        <v>-1.3837883847598775</v>
      </c>
      <c r="H11" s="16">
        <f t="shared" si="2"/>
        <v>-0.42950378122448851</v>
      </c>
      <c r="I11" s="74">
        <f t="shared" si="3"/>
        <v>-2.0319559887195826</v>
      </c>
      <c r="J11" s="74">
        <f t="shared" si="4"/>
        <v>12.631955988719582</v>
      </c>
      <c r="K11" s="78"/>
      <c r="L11" s="78"/>
      <c r="M11" s="78"/>
      <c r="N11" s="78"/>
      <c r="O11" s="78"/>
    </row>
    <row r="12" spans="1:19" ht="15.6" x14ac:dyDescent="0.3">
      <c r="A12" s="2">
        <v>11</v>
      </c>
      <c r="B12" s="2">
        <v>66.099999999999994</v>
      </c>
      <c r="C12" s="2">
        <v>5.8</v>
      </c>
      <c r="D12" s="2">
        <v>24.2</v>
      </c>
      <c r="E12" s="2">
        <v>8.6</v>
      </c>
      <c r="F12" s="17">
        <f t="shared" si="0"/>
        <v>-0.94278981998171674</v>
      </c>
      <c r="G12" s="16">
        <f t="shared" si="1"/>
        <v>-1.1690498739586748</v>
      </c>
      <c r="H12" s="16">
        <f t="shared" si="2"/>
        <v>-0.2917540117490271</v>
      </c>
      <c r="I12" s="74">
        <f t="shared" si="3"/>
        <v>1.4942725501716438</v>
      </c>
      <c r="J12" s="74">
        <f t="shared" si="4"/>
        <v>7.1057274498283558</v>
      </c>
      <c r="K12" s="78"/>
      <c r="L12" s="78"/>
      <c r="M12" s="78"/>
      <c r="N12" s="78"/>
      <c r="O12" s="78"/>
    </row>
    <row r="13" spans="1:19" ht="15.6" x14ac:dyDescent="0.3">
      <c r="A13" s="2">
        <v>12</v>
      </c>
      <c r="B13" s="2">
        <v>214.7</v>
      </c>
      <c r="C13" s="2">
        <v>24</v>
      </c>
      <c r="D13" s="2">
        <v>4</v>
      </c>
      <c r="E13" s="2">
        <v>17.399999999999999</v>
      </c>
      <c r="F13" s="17">
        <f t="shared" si="0"/>
        <v>0.78805080452683085</v>
      </c>
      <c r="G13" s="16">
        <f t="shared" si="1"/>
        <v>5.2275406223166385E-2</v>
      </c>
      <c r="H13" s="16">
        <f t="shared" si="2"/>
        <v>-1.219269126217134</v>
      </c>
      <c r="I13" s="74">
        <f t="shared" si="3"/>
        <v>8.1292865166201267E-2</v>
      </c>
      <c r="J13" s="74">
        <f t="shared" si="4"/>
        <v>17.318707134833797</v>
      </c>
      <c r="K13" s="78"/>
      <c r="L13" s="78"/>
      <c r="M13" s="78"/>
      <c r="N13" s="78"/>
      <c r="O13" s="78"/>
    </row>
    <row r="14" spans="1:19" ht="15.6" x14ac:dyDescent="0.3">
      <c r="A14" s="2">
        <v>13</v>
      </c>
      <c r="B14" s="2">
        <v>23.8</v>
      </c>
      <c r="C14" s="2">
        <v>35.1</v>
      </c>
      <c r="D14" s="2">
        <v>65.900000000000006</v>
      </c>
      <c r="E14" s="2">
        <v>9.1999999999999993</v>
      </c>
      <c r="F14" s="17">
        <f t="shared" si="0"/>
        <v>-1.43548536787345</v>
      </c>
      <c r="G14" s="16">
        <f t="shared" si="1"/>
        <v>0.79714961556483888</v>
      </c>
      <c r="H14" s="16">
        <f t="shared" si="2"/>
        <v>1.6229677839598868</v>
      </c>
      <c r="I14" s="74">
        <f t="shared" si="3"/>
        <v>-1.534455567815229</v>
      </c>
      <c r="J14" s="74">
        <f t="shared" si="4"/>
        <v>10.734455567815228</v>
      </c>
      <c r="K14" s="78"/>
      <c r="L14" s="78"/>
      <c r="M14" s="78"/>
      <c r="N14" s="78"/>
      <c r="O14" s="78"/>
    </row>
    <row r="15" spans="1:19" ht="15.6" x14ac:dyDescent="0.3">
      <c r="A15" s="2">
        <v>14</v>
      </c>
      <c r="B15" s="2">
        <v>97.5</v>
      </c>
      <c r="C15" s="2">
        <v>7.6</v>
      </c>
      <c r="D15" s="2">
        <v>7.2</v>
      </c>
      <c r="E15" s="2">
        <v>9.6999999999999993</v>
      </c>
      <c r="F15" s="17">
        <f t="shared" si="0"/>
        <v>-0.57705364495097378</v>
      </c>
      <c r="G15" s="16">
        <f t="shared" si="1"/>
        <v>-1.0482594616329983</v>
      </c>
      <c r="H15" s="16">
        <f t="shared" si="2"/>
        <v>-1.0723360387766419</v>
      </c>
      <c r="I15" s="74">
        <f t="shared" si="3"/>
        <v>0.83823358996791875</v>
      </c>
      <c r="J15" s="74">
        <f t="shared" si="4"/>
        <v>8.8617664100320805</v>
      </c>
      <c r="K15" s="78"/>
      <c r="L15" s="78"/>
      <c r="M15" s="78"/>
      <c r="N15" s="78"/>
      <c r="O15" s="78"/>
    </row>
    <row r="16" spans="1:19" ht="15.6" x14ac:dyDescent="0.3">
      <c r="A16" s="2">
        <v>15</v>
      </c>
      <c r="B16" s="2">
        <v>204.1</v>
      </c>
      <c r="C16" s="2">
        <v>32.9</v>
      </c>
      <c r="D16" s="2">
        <v>46</v>
      </c>
      <c r="E16" s="2">
        <v>19</v>
      </c>
      <c r="F16" s="17">
        <f t="shared" si="0"/>
        <v>0.66458572633173929</v>
      </c>
      <c r="G16" s="16">
        <f t="shared" si="1"/>
        <v>0.64951688938901175</v>
      </c>
      <c r="H16" s="16">
        <f t="shared" si="2"/>
        <v>0.7092276464393259</v>
      </c>
      <c r="I16" s="74">
        <f t="shared" si="3"/>
        <v>0.43649393653500823</v>
      </c>
      <c r="J16" s="74">
        <f t="shared" si="4"/>
        <v>18.563506063464992</v>
      </c>
      <c r="K16" s="78"/>
      <c r="L16" s="78"/>
      <c r="M16" s="78"/>
      <c r="N16" s="78"/>
      <c r="O16" s="78"/>
    </row>
    <row r="17" spans="1:15" ht="15.6" x14ac:dyDescent="0.3">
      <c r="A17" s="2">
        <v>16</v>
      </c>
      <c r="B17" s="2">
        <v>195.4</v>
      </c>
      <c r="C17" s="2">
        <v>47.7</v>
      </c>
      <c r="D17" s="2">
        <v>52.9</v>
      </c>
      <c r="E17" s="2">
        <v>22.4</v>
      </c>
      <c r="F17" s="17">
        <f t="shared" si="0"/>
        <v>0.56325118102067373</v>
      </c>
      <c r="G17" s="16">
        <f t="shared" si="1"/>
        <v>1.6426825018445752</v>
      </c>
      <c r="H17" s="16">
        <f t="shared" si="2"/>
        <v>1.0260521162328871</v>
      </c>
      <c r="I17" s="74">
        <f t="shared" si="3"/>
        <v>1.4416129628831449</v>
      </c>
      <c r="J17" s="74">
        <f t="shared" si="4"/>
        <v>20.958387037116854</v>
      </c>
      <c r="K17" s="78"/>
      <c r="L17" s="78"/>
      <c r="M17" s="78"/>
      <c r="N17" s="78"/>
      <c r="O17" s="78"/>
    </row>
    <row r="18" spans="1:15" ht="15.6" x14ac:dyDescent="0.3">
      <c r="A18" s="2">
        <v>17</v>
      </c>
      <c r="B18" s="2">
        <v>67.8</v>
      </c>
      <c r="C18" s="2">
        <v>36.6</v>
      </c>
      <c r="D18" s="2">
        <v>114</v>
      </c>
      <c r="E18" s="2">
        <v>12.5</v>
      </c>
      <c r="F18" s="17">
        <f t="shared" si="0"/>
        <v>-0.92298881687495671</v>
      </c>
      <c r="G18" s="16">
        <f t="shared" si="1"/>
        <v>0.89780829250290273</v>
      </c>
      <c r="H18" s="16">
        <f t="shared" si="2"/>
        <v>3.8315557545497843</v>
      </c>
      <c r="I18" s="74">
        <f t="shared" si="3"/>
        <v>-0.59943495608714059</v>
      </c>
      <c r="J18" s="74">
        <f t="shared" si="4"/>
        <v>13.099434956087141</v>
      </c>
      <c r="K18" s="78"/>
      <c r="L18" s="78"/>
      <c r="M18" s="78"/>
      <c r="N18" s="78"/>
      <c r="O18" s="78"/>
    </row>
    <row r="19" spans="1:15" ht="15.6" x14ac:dyDescent="0.3">
      <c r="A19" s="2">
        <v>18</v>
      </c>
      <c r="B19" s="2">
        <v>281.39999999999998</v>
      </c>
      <c r="C19" s="2">
        <v>39.6</v>
      </c>
      <c r="D19" s="2">
        <v>55.8</v>
      </c>
      <c r="E19" s="2">
        <v>24.4</v>
      </c>
      <c r="F19" s="17">
        <f t="shared" si="0"/>
        <v>1.5649489852450011</v>
      </c>
      <c r="G19" s="16">
        <f t="shared" si="1"/>
        <v>1.0991256463790304</v>
      </c>
      <c r="H19" s="16">
        <f t="shared" si="2"/>
        <v>1.1592102267258331</v>
      </c>
      <c r="I19" s="74">
        <f t="shared" si="3"/>
        <v>1.0172315853889948</v>
      </c>
      <c r="J19" s="74">
        <f t="shared" si="4"/>
        <v>23.382768414611004</v>
      </c>
      <c r="K19" s="78"/>
      <c r="L19" s="78"/>
      <c r="M19" s="78"/>
      <c r="N19" s="78"/>
      <c r="O19" s="78"/>
    </row>
    <row r="20" spans="1:15" ht="15.6" x14ac:dyDescent="0.3">
      <c r="A20" s="2">
        <v>19</v>
      </c>
      <c r="B20" s="2">
        <v>69.2</v>
      </c>
      <c r="C20" s="2">
        <v>20.5</v>
      </c>
      <c r="D20" s="2">
        <v>18.3</v>
      </c>
      <c r="E20" s="2">
        <v>11.3</v>
      </c>
      <c r="F20" s="17">
        <f t="shared" si="0"/>
        <v>-0.90668210843409558</v>
      </c>
      <c r="G20" s="16">
        <f t="shared" si="1"/>
        <v>-0.18259483996564924</v>
      </c>
      <c r="H20" s="16">
        <f t="shared" si="2"/>
        <v>-0.56266189171743441</v>
      </c>
      <c r="I20" s="74">
        <f t="shared" si="3"/>
        <v>1.2941806929061848</v>
      </c>
      <c r="J20" s="74">
        <f t="shared" si="4"/>
        <v>10.005819307093816</v>
      </c>
      <c r="K20" s="78"/>
      <c r="L20" s="78"/>
      <c r="M20" s="78"/>
      <c r="N20" s="78"/>
      <c r="O20" s="78"/>
    </row>
    <row r="21" spans="1:15" ht="15.6" x14ac:dyDescent="0.3">
      <c r="A21" s="2">
        <v>20</v>
      </c>
      <c r="B21" s="2">
        <v>147.30000000000001</v>
      </c>
      <c r="C21" s="2">
        <v>23.9</v>
      </c>
      <c r="D21" s="2">
        <v>19.100000000000001</v>
      </c>
      <c r="E21" s="2">
        <v>14.6</v>
      </c>
      <c r="F21" s="17">
        <f t="shared" si="0"/>
        <v>2.9992695882300698E-3</v>
      </c>
      <c r="G21" s="16">
        <f t="shared" si="1"/>
        <v>4.5564827760628701E-2</v>
      </c>
      <c r="H21" s="16">
        <f t="shared" si="2"/>
        <v>-0.52592861985731143</v>
      </c>
      <c r="I21" s="74">
        <f t="shared" si="3"/>
        <v>0.3712189205209544</v>
      </c>
      <c r="J21" s="74">
        <f t="shared" si="4"/>
        <v>14.228781079479045</v>
      </c>
      <c r="K21" s="78"/>
      <c r="L21" s="78"/>
      <c r="M21" s="78"/>
      <c r="N21" s="78"/>
      <c r="O21" s="78"/>
    </row>
    <row r="22" spans="1:15" ht="15.6" x14ac:dyDescent="0.3">
      <c r="A22" s="2">
        <v>21</v>
      </c>
      <c r="B22" s="2">
        <v>218.4</v>
      </c>
      <c r="C22" s="2">
        <v>27.7</v>
      </c>
      <c r="D22" s="2">
        <v>53.4</v>
      </c>
      <c r="E22" s="2">
        <v>18</v>
      </c>
      <c r="F22" s="17">
        <f t="shared" si="0"/>
        <v>0.83114710540624981</v>
      </c>
      <c r="G22" s="16">
        <f t="shared" si="1"/>
        <v>0.30056680933705715</v>
      </c>
      <c r="H22" s="16">
        <f t="shared" si="2"/>
        <v>1.0490104111454639</v>
      </c>
      <c r="I22" s="74">
        <f t="shared" si="3"/>
        <v>-0.25094914643295851</v>
      </c>
      <c r="J22" s="74">
        <f t="shared" si="4"/>
        <v>18.250949146432959</v>
      </c>
      <c r="K22" s="78"/>
      <c r="L22" s="78"/>
      <c r="M22" s="78"/>
      <c r="N22" s="78"/>
      <c r="O22" s="78"/>
    </row>
    <row r="23" spans="1:15" ht="15.6" x14ac:dyDescent="0.3">
      <c r="A23" s="2">
        <v>22</v>
      </c>
      <c r="B23" s="2">
        <v>237.4</v>
      </c>
      <c r="C23" s="2">
        <v>5.0999999999999996</v>
      </c>
      <c r="D23" s="2">
        <v>23.5</v>
      </c>
      <c r="E23" s="2">
        <v>12.5</v>
      </c>
      <c r="F23" s="17">
        <f t="shared" si="0"/>
        <v>1.0524524342465083</v>
      </c>
      <c r="G23" s="16">
        <f t="shared" si="1"/>
        <v>-1.216023923196438</v>
      </c>
      <c r="H23" s="16">
        <f t="shared" si="2"/>
        <v>-0.32389562462663468</v>
      </c>
      <c r="I23" s="74">
        <f t="shared" si="3"/>
        <v>-2.3300048875568589</v>
      </c>
      <c r="J23" s="74">
        <f t="shared" si="4"/>
        <v>14.830004887556859</v>
      </c>
      <c r="K23" s="78"/>
      <c r="L23" s="78"/>
      <c r="M23" s="78"/>
      <c r="N23" s="78"/>
      <c r="O23" s="78"/>
    </row>
    <row r="24" spans="1:15" ht="15.6" x14ac:dyDescent="0.3">
      <c r="A24" s="2">
        <v>23</v>
      </c>
      <c r="B24" s="2">
        <v>13.2</v>
      </c>
      <c r="C24" s="2">
        <v>15.9</v>
      </c>
      <c r="D24" s="2">
        <v>49.6</v>
      </c>
      <c r="E24" s="2">
        <v>5.6</v>
      </c>
      <c r="F24" s="17">
        <f t="shared" si="0"/>
        <v>-1.5589504460685417</v>
      </c>
      <c r="G24" s="16">
        <f t="shared" si="1"/>
        <v>-0.49128144924237832</v>
      </c>
      <c r="H24" s="16">
        <f t="shared" si="2"/>
        <v>0.87452736980987966</v>
      </c>
      <c r="I24" s="74">
        <f t="shared" si="3"/>
        <v>-1.0138536600817716</v>
      </c>
      <c r="J24" s="74">
        <f t="shared" si="4"/>
        <v>6.6138536600817712</v>
      </c>
      <c r="K24" s="78"/>
      <c r="L24" s="78"/>
      <c r="M24" s="78"/>
      <c r="N24" s="78"/>
      <c r="O24" s="78"/>
    </row>
    <row r="25" spans="1:15" ht="15.6" x14ac:dyDescent="0.3">
      <c r="A25" s="2">
        <v>24</v>
      </c>
      <c r="B25" s="2">
        <v>228.3</v>
      </c>
      <c r="C25" s="2">
        <v>16.899999999999999</v>
      </c>
      <c r="D25" s="2">
        <v>26.2</v>
      </c>
      <c r="E25" s="2">
        <v>15.5</v>
      </c>
      <c r="F25" s="17">
        <f t="shared" si="0"/>
        <v>0.94645882938091075</v>
      </c>
      <c r="G25" s="16">
        <f t="shared" si="1"/>
        <v>-0.42417566461700257</v>
      </c>
      <c r="H25" s="16">
        <f t="shared" si="2"/>
        <v>-0.19992083209871947</v>
      </c>
      <c r="I25" s="74">
        <f t="shared" si="3"/>
        <v>-1.136440405761217</v>
      </c>
      <c r="J25" s="74">
        <f t="shared" si="4"/>
        <v>16.636440405761217</v>
      </c>
      <c r="K25" s="78"/>
      <c r="L25" s="78"/>
      <c r="M25" s="78"/>
      <c r="N25" s="78"/>
      <c r="O25" s="78"/>
    </row>
    <row r="26" spans="1:15" ht="15.6" x14ac:dyDescent="0.3">
      <c r="A26" s="2">
        <v>25</v>
      </c>
      <c r="B26" s="2">
        <v>62.3</v>
      </c>
      <c r="C26" s="2">
        <v>12.6</v>
      </c>
      <c r="D26" s="2">
        <v>18.3</v>
      </c>
      <c r="E26" s="2">
        <v>9.6999999999999993</v>
      </c>
      <c r="F26" s="17">
        <f t="shared" si="0"/>
        <v>-0.9870508857497684</v>
      </c>
      <c r="G26" s="16">
        <f t="shared" si="1"/>
        <v>-0.71273053850611878</v>
      </c>
      <c r="H26" s="16">
        <f t="shared" si="2"/>
        <v>-0.56266189171743441</v>
      </c>
      <c r="I26" s="74">
        <f t="shared" si="3"/>
        <v>1.4970593567128567</v>
      </c>
      <c r="J26" s="74">
        <f t="shared" si="4"/>
        <v>8.2029406432871426</v>
      </c>
      <c r="K26" s="78"/>
      <c r="L26" s="78"/>
      <c r="M26" s="78"/>
      <c r="N26" s="78"/>
      <c r="O26" s="78"/>
    </row>
    <row r="27" spans="1:15" ht="15.6" x14ac:dyDescent="0.3">
      <c r="A27" s="2">
        <v>26</v>
      </c>
      <c r="B27" s="2">
        <v>262.89999999999998</v>
      </c>
      <c r="C27" s="2">
        <v>3.5</v>
      </c>
      <c r="D27" s="2">
        <v>19.5</v>
      </c>
      <c r="E27" s="2">
        <v>12</v>
      </c>
      <c r="F27" s="17">
        <f t="shared" si="0"/>
        <v>1.3494674808479075</v>
      </c>
      <c r="G27" s="16">
        <f t="shared" si="1"/>
        <v>-1.3233931785970394</v>
      </c>
      <c r="H27" s="16">
        <f t="shared" si="2"/>
        <v>-0.50756198392724994</v>
      </c>
      <c r="I27" s="74">
        <f t="shared" si="3"/>
        <v>-3.6931820979641348</v>
      </c>
      <c r="J27" s="74">
        <f t="shared" si="4"/>
        <v>15.693182097964135</v>
      </c>
      <c r="K27" s="78"/>
      <c r="L27" s="78"/>
      <c r="M27" s="78"/>
      <c r="N27" s="78"/>
      <c r="O27" s="78"/>
    </row>
    <row r="28" spans="1:15" ht="15.6" x14ac:dyDescent="0.3">
      <c r="A28" s="2">
        <v>27</v>
      </c>
      <c r="B28" s="2">
        <v>142.9</v>
      </c>
      <c r="C28" s="2">
        <v>29.3</v>
      </c>
      <c r="D28" s="2">
        <v>12.6</v>
      </c>
      <c r="E28" s="2">
        <v>15</v>
      </c>
      <c r="F28" s="17">
        <f t="shared" si="0"/>
        <v>-4.8250385511619323E-2</v>
      </c>
      <c r="G28" s="16">
        <f t="shared" si="1"/>
        <v>0.40793606473765864</v>
      </c>
      <c r="H28" s="16">
        <f t="shared" si="2"/>
        <v>-0.8243864537208111</v>
      </c>
      <c r="I28" s="74">
        <f t="shared" si="3"/>
        <v>-3.4255559240829569E-2</v>
      </c>
      <c r="J28" s="74">
        <f t="shared" si="4"/>
        <v>15.03425555924083</v>
      </c>
      <c r="K28" s="78"/>
      <c r="L28" s="78"/>
      <c r="M28" s="78"/>
      <c r="N28" s="78"/>
      <c r="O28" s="78"/>
    </row>
    <row r="29" spans="1:15" ht="15.6" x14ac:dyDescent="0.3">
      <c r="A29" s="2">
        <v>28</v>
      </c>
      <c r="B29" s="2">
        <v>240.1</v>
      </c>
      <c r="C29" s="2">
        <v>16.7</v>
      </c>
      <c r="D29" s="2">
        <v>22.9</v>
      </c>
      <c r="E29" s="2">
        <v>15.9</v>
      </c>
      <c r="F29" s="17">
        <f t="shared" si="0"/>
        <v>1.0839010862395975</v>
      </c>
      <c r="G29" s="16">
        <f t="shared" si="1"/>
        <v>-0.43759682154207769</v>
      </c>
      <c r="H29" s="16">
        <f t="shared" si="2"/>
        <v>-0.35144557852172703</v>
      </c>
      <c r="I29" s="74">
        <f t="shared" si="3"/>
        <v>-1.2356003372580897</v>
      </c>
      <c r="J29" s="74">
        <f t="shared" si="4"/>
        <v>17.13560033725809</v>
      </c>
      <c r="K29" s="78"/>
      <c r="L29" s="78"/>
      <c r="M29" s="78"/>
      <c r="N29" s="78"/>
      <c r="O29" s="78"/>
    </row>
    <row r="30" spans="1:15" ht="15.6" x14ac:dyDescent="0.3">
      <c r="A30" s="2">
        <v>29</v>
      </c>
      <c r="B30" s="2">
        <v>248.8</v>
      </c>
      <c r="C30" s="2">
        <v>27.1</v>
      </c>
      <c r="D30" s="2">
        <v>22.9</v>
      </c>
      <c r="E30" s="2">
        <v>18.899999999999999</v>
      </c>
      <c r="F30" s="17">
        <f t="shared" si="0"/>
        <v>1.1852356315506634</v>
      </c>
      <c r="G30" s="16">
        <f t="shared" si="1"/>
        <v>0.26030333856183174</v>
      </c>
      <c r="H30" s="16">
        <f t="shared" si="2"/>
        <v>-0.35144557852172703</v>
      </c>
      <c r="I30" s="74">
        <f t="shared" si="3"/>
        <v>-0.59141840499007969</v>
      </c>
      <c r="J30" s="74">
        <f t="shared" si="4"/>
        <v>19.491418404990078</v>
      </c>
      <c r="K30" s="78"/>
      <c r="L30" s="78"/>
      <c r="M30" s="78"/>
      <c r="N30" s="78"/>
      <c r="O30" s="78"/>
    </row>
    <row r="31" spans="1:15" ht="15.6" x14ac:dyDescent="0.3">
      <c r="A31" s="2">
        <v>30</v>
      </c>
      <c r="B31" s="2">
        <v>70.599999999999994</v>
      </c>
      <c r="C31" s="2">
        <v>16</v>
      </c>
      <c r="D31" s="2">
        <v>40.799999999999997</v>
      </c>
      <c r="E31" s="2">
        <v>10.5</v>
      </c>
      <c r="F31" s="17">
        <f t="shared" si="0"/>
        <v>-0.89037539999323445</v>
      </c>
      <c r="G31" s="16">
        <f t="shared" si="1"/>
        <v>-0.48457087077984079</v>
      </c>
      <c r="H31" s="16">
        <f t="shared" si="2"/>
        <v>0.470461379348526</v>
      </c>
      <c r="I31" s="74">
        <f t="shared" si="3"/>
        <v>1.2464201612001311</v>
      </c>
      <c r="J31" s="74">
        <f t="shared" si="4"/>
        <v>9.2535798387998689</v>
      </c>
      <c r="K31" s="78"/>
      <c r="L31" s="78"/>
      <c r="M31" s="78"/>
      <c r="N31" s="78"/>
      <c r="O31" s="78"/>
    </row>
    <row r="32" spans="1:15" ht="15.6" x14ac:dyDescent="0.3">
      <c r="A32" s="2">
        <v>31</v>
      </c>
      <c r="B32" s="2">
        <v>292.89999999999998</v>
      </c>
      <c r="C32" s="2">
        <v>28.3</v>
      </c>
      <c r="D32" s="2">
        <v>43.2</v>
      </c>
      <c r="E32" s="2">
        <v>21.4</v>
      </c>
      <c r="F32" s="17">
        <f t="shared" si="0"/>
        <v>1.6988969474377891</v>
      </c>
      <c r="G32" s="16">
        <f t="shared" si="1"/>
        <v>0.34083028011228278</v>
      </c>
      <c r="H32" s="16">
        <f t="shared" si="2"/>
        <v>0.58066119492889534</v>
      </c>
      <c r="I32" s="74">
        <f t="shared" si="3"/>
        <v>-0.36718667133779448</v>
      </c>
      <c r="J32" s="74">
        <f t="shared" si="4"/>
        <v>21.767186671337793</v>
      </c>
      <c r="K32" s="78"/>
      <c r="L32" s="78"/>
      <c r="M32" s="78"/>
      <c r="N32" s="78"/>
      <c r="O32" s="78"/>
    </row>
    <row r="33" spans="1:15" ht="15.6" x14ac:dyDescent="0.3">
      <c r="A33" s="2">
        <v>32</v>
      </c>
      <c r="B33" s="2">
        <v>112.9</v>
      </c>
      <c r="C33" s="2">
        <v>17.399999999999999</v>
      </c>
      <c r="D33" s="2">
        <v>38.6</v>
      </c>
      <c r="E33" s="2">
        <v>11.9</v>
      </c>
      <c r="F33" s="17">
        <f t="shared" si="0"/>
        <v>-0.39767985210150109</v>
      </c>
      <c r="G33" s="16">
        <f t="shared" si="1"/>
        <v>-0.39062277230431458</v>
      </c>
      <c r="H33" s="16">
        <f t="shared" si="2"/>
        <v>0.36944488173318779</v>
      </c>
      <c r="I33" s="74">
        <f t="shared" si="3"/>
        <v>0.44581222985982372</v>
      </c>
      <c r="J33" s="74">
        <f t="shared" si="4"/>
        <v>11.454187770140177</v>
      </c>
      <c r="K33" s="78"/>
      <c r="L33" s="78"/>
      <c r="M33" s="78"/>
      <c r="N33" s="78"/>
      <c r="O33" s="78"/>
    </row>
    <row r="34" spans="1:15" ht="15.6" x14ac:dyDescent="0.3">
      <c r="A34" s="2">
        <v>33</v>
      </c>
      <c r="B34" s="2">
        <v>97.2</v>
      </c>
      <c r="C34" s="2">
        <v>1.5</v>
      </c>
      <c r="D34" s="2">
        <v>30</v>
      </c>
      <c r="E34" s="2">
        <v>9.6</v>
      </c>
      <c r="F34" s="17">
        <f t="shared" si="0"/>
        <v>-0.58054793961687257</v>
      </c>
      <c r="G34" s="16">
        <f t="shared" si="1"/>
        <v>-1.4576047478477911</v>
      </c>
      <c r="H34" s="16">
        <f t="shared" si="2"/>
        <v>-2.5437790763134977E-2</v>
      </c>
      <c r="I34" s="74">
        <f t="shared" si="3"/>
        <v>1.8690860146636998</v>
      </c>
      <c r="J34" s="74">
        <f t="shared" si="4"/>
        <v>7.7309139853362998</v>
      </c>
      <c r="K34" s="78"/>
      <c r="L34" s="78"/>
      <c r="M34" s="78"/>
      <c r="N34" s="78"/>
      <c r="O34" s="78"/>
    </row>
    <row r="35" spans="1:15" ht="15.6" x14ac:dyDescent="0.3">
      <c r="A35" s="2">
        <v>34</v>
      </c>
      <c r="B35" s="2">
        <v>265.60000000000002</v>
      </c>
      <c r="C35" s="2">
        <v>20</v>
      </c>
      <c r="D35" s="2">
        <v>0.3</v>
      </c>
      <c r="E35" s="2">
        <v>17.399999999999999</v>
      </c>
      <c r="F35" s="17">
        <f t="shared" si="0"/>
        <v>1.3809161328409973</v>
      </c>
      <c r="G35" s="16">
        <f t="shared" si="1"/>
        <v>-0.2161477322783372</v>
      </c>
      <c r="H35" s="16">
        <f t="shared" si="2"/>
        <v>-1.389160508570203</v>
      </c>
      <c r="I35" s="74">
        <f t="shared" si="3"/>
        <v>-1.495730878194184</v>
      </c>
      <c r="J35" s="74">
        <f t="shared" si="4"/>
        <v>18.895730878194183</v>
      </c>
      <c r="K35" s="78"/>
      <c r="L35" s="78"/>
      <c r="M35" s="78"/>
      <c r="N35" s="78"/>
      <c r="O35" s="78"/>
    </row>
    <row r="36" spans="1:15" ht="15.6" x14ac:dyDescent="0.3">
      <c r="A36" s="2">
        <v>35</v>
      </c>
      <c r="B36" s="2">
        <v>95.7</v>
      </c>
      <c r="C36" s="2">
        <v>1.4</v>
      </c>
      <c r="D36" s="2">
        <v>7.4</v>
      </c>
      <c r="E36" s="2">
        <v>9.5</v>
      </c>
      <c r="F36" s="17">
        <f t="shared" si="0"/>
        <v>-0.59801941294636662</v>
      </c>
      <c r="G36" s="16">
        <f t="shared" si="1"/>
        <v>-1.464315326310329</v>
      </c>
      <c r="H36" s="16">
        <f t="shared" si="2"/>
        <v>-1.0631527208116109</v>
      </c>
      <c r="I36" s="74">
        <f t="shared" si="3"/>
        <v>1.8870663460945876</v>
      </c>
      <c r="J36" s="74">
        <f t="shared" si="4"/>
        <v>7.6129336539054124</v>
      </c>
      <c r="K36" s="78"/>
      <c r="L36" s="78"/>
      <c r="M36" s="78"/>
      <c r="N36" s="78"/>
      <c r="O36" s="78"/>
    </row>
    <row r="37" spans="1:15" ht="15.6" x14ac:dyDescent="0.3">
      <c r="A37" s="2">
        <v>36</v>
      </c>
      <c r="B37" s="2">
        <v>290.7</v>
      </c>
      <c r="C37" s="2">
        <v>4.0999999999999996</v>
      </c>
      <c r="D37" s="2">
        <v>8.5</v>
      </c>
      <c r="E37" s="2">
        <v>12.8</v>
      </c>
      <c r="F37" s="17">
        <f t="shared" si="0"/>
        <v>1.6732721198878646</v>
      </c>
      <c r="G37" s="16">
        <f t="shared" si="1"/>
        <v>-1.283129707821814</v>
      </c>
      <c r="H37" s="16">
        <f t="shared" si="2"/>
        <v>-1.0126444720039418</v>
      </c>
      <c r="I37" s="74">
        <f t="shared" si="3"/>
        <v>-4.2663811391640785</v>
      </c>
      <c r="J37" s="74">
        <f t="shared" si="4"/>
        <v>17.066381139164079</v>
      </c>
      <c r="K37" s="78"/>
      <c r="L37" s="78"/>
      <c r="M37" s="78"/>
      <c r="N37" s="78"/>
      <c r="O37" s="78"/>
    </row>
    <row r="38" spans="1:15" ht="15.6" x14ac:dyDescent="0.3">
      <c r="A38" s="2">
        <v>37</v>
      </c>
      <c r="B38" s="2">
        <v>266.89999999999998</v>
      </c>
      <c r="C38" s="2">
        <v>43.8</v>
      </c>
      <c r="D38" s="2">
        <v>5</v>
      </c>
      <c r="E38" s="2">
        <v>25.4</v>
      </c>
      <c r="F38" s="17">
        <f t="shared" si="0"/>
        <v>1.3960580763932249</v>
      </c>
      <c r="G38" s="16">
        <f t="shared" si="1"/>
        <v>1.3809699418056089</v>
      </c>
      <c r="H38" s="16">
        <f t="shared" si="2"/>
        <v>-1.1733525363919801</v>
      </c>
      <c r="I38" s="74">
        <f t="shared" si="3"/>
        <v>1.9603122900143859</v>
      </c>
      <c r="J38" s="74">
        <f t="shared" si="4"/>
        <v>23.439687709985613</v>
      </c>
      <c r="K38" s="78"/>
      <c r="L38" s="78"/>
      <c r="M38" s="78"/>
      <c r="N38" s="78"/>
      <c r="O38" s="78"/>
    </row>
    <row r="39" spans="1:15" ht="15.6" x14ac:dyDescent="0.3">
      <c r="A39" s="2">
        <v>38</v>
      </c>
      <c r="B39" s="2">
        <v>74.7</v>
      </c>
      <c r="C39" s="2">
        <v>49.4</v>
      </c>
      <c r="D39" s="2">
        <v>45.7</v>
      </c>
      <c r="E39" s="2">
        <v>14.7</v>
      </c>
      <c r="F39" s="17">
        <f t="shared" si="0"/>
        <v>-0.84262003955928388</v>
      </c>
      <c r="G39" s="16">
        <f t="shared" si="1"/>
        <v>1.756762335707714</v>
      </c>
      <c r="H39" s="16">
        <f t="shared" si="2"/>
        <v>0.69545266949177986</v>
      </c>
      <c r="I39" s="74">
        <f t="shared" si="3"/>
        <v>-1.0324898261500461</v>
      </c>
      <c r="J39" s="74">
        <f t="shared" si="4"/>
        <v>15.732489826150045</v>
      </c>
      <c r="K39" s="78"/>
      <c r="L39" s="78"/>
      <c r="M39" s="78"/>
      <c r="N39" s="78"/>
      <c r="O39" s="78"/>
    </row>
    <row r="40" spans="1:15" ht="15.6" x14ac:dyDescent="0.3">
      <c r="A40" s="2">
        <v>39</v>
      </c>
      <c r="B40" s="2">
        <v>43.1</v>
      </c>
      <c r="C40" s="2">
        <v>26.7</v>
      </c>
      <c r="D40" s="2">
        <v>35.1</v>
      </c>
      <c r="E40" s="2">
        <v>10.1</v>
      </c>
      <c r="F40" s="17">
        <f t="shared" si="0"/>
        <v>-1.2106857443672927</v>
      </c>
      <c r="G40" s="16">
        <f t="shared" si="1"/>
        <v>0.23346102471168126</v>
      </c>
      <c r="H40" s="16">
        <f t="shared" si="2"/>
        <v>0.20873681734514948</v>
      </c>
      <c r="I40" s="74">
        <f t="shared" si="3"/>
        <v>0.1021808521673222</v>
      </c>
      <c r="J40" s="74">
        <f t="shared" si="4"/>
        <v>9.9978191478326774</v>
      </c>
      <c r="K40" s="78"/>
      <c r="L40" s="78"/>
      <c r="M40" s="78"/>
      <c r="N40" s="78"/>
      <c r="O40" s="78"/>
    </row>
    <row r="41" spans="1:15" ht="15.6" x14ac:dyDescent="0.3">
      <c r="A41" s="2">
        <v>40</v>
      </c>
      <c r="B41" s="2">
        <v>228</v>
      </c>
      <c r="C41" s="2">
        <v>37.700000000000003</v>
      </c>
      <c r="D41" s="2">
        <v>32</v>
      </c>
      <c r="E41" s="2">
        <v>21.5</v>
      </c>
      <c r="F41" s="17">
        <f t="shared" si="0"/>
        <v>0.94296453471501185</v>
      </c>
      <c r="G41" s="16">
        <f t="shared" si="1"/>
        <v>0.97162465559081634</v>
      </c>
      <c r="H41" s="16">
        <f t="shared" si="2"/>
        <v>6.6395388887172641E-2</v>
      </c>
      <c r="I41" s="74">
        <f t="shared" si="3"/>
        <v>0.95596686601490077</v>
      </c>
      <c r="J41" s="74">
        <f t="shared" si="4"/>
        <v>20.544033133985099</v>
      </c>
      <c r="K41" s="78"/>
      <c r="L41" s="78"/>
      <c r="M41" s="78"/>
      <c r="N41" s="78"/>
      <c r="O41" s="78"/>
    </row>
    <row r="42" spans="1:15" ht="15.6" x14ac:dyDescent="0.3">
      <c r="A42" s="2">
        <v>41</v>
      </c>
      <c r="B42" s="2">
        <v>202.5</v>
      </c>
      <c r="C42" s="2">
        <v>22.3</v>
      </c>
      <c r="D42" s="2">
        <v>31.6</v>
      </c>
      <c r="E42" s="2">
        <v>16.600000000000001</v>
      </c>
      <c r="F42" s="17">
        <f t="shared" si="0"/>
        <v>0.64594948811361241</v>
      </c>
      <c r="G42" s="16">
        <f t="shared" si="1"/>
        <v>-6.1804427639972584E-2</v>
      </c>
      <c r="H42" s="16">
        <f t="shared" si="2"/>
        <v>4.8028752957111176E-2</v>
      </c>
      <c r="I42" s="74">
        <f t="shared" si="3"/>
        <v>0.12363843218164305</v>
      </c>
      <c r="J42" s="74">
        <f t="shared" si="4"/>
        <v>16.476361567818358</v>
      </c>
      <c r="K42" s="78"/>
      <c r="L42" s="78"/>
      <c r="M42" s="78"/>
      <c r="N42" s="78"/>
      <c r="O42" s="78"/>
    </row>
    <row r="43" spans="1:15" ht="15.6" x14ac:dyDescent="0.3">
      <c r="A43" s="2">
        <v>42</v>
      </c>
      <c r="B43" s="2">
        <v>177</v>
      </c>
      <c r="C43" s="2">
        <v>33.4</v>
      </c>
      <c r="D43" s="2">
        <v>38.700000000000003</v>
      </c>
      <c r="E43" s="2">
        <v>17.100000000000001</v>
      </c>
      <c r="F43" s="17">
        <f t="shared" si="0"/>
        <v>0.34893444151221287</v>
      </c>
      <c r="G43" s="16">
        <f t="shared" si="1"/>
        <v>0.68306978170169974</v>
      </c>
      <c r="H43" s="16">
        <f t="shared" si="2"/>
        <v>0.37403654071570325</v>
      </c>
      <c r="I43" s="74">
        <f t="shared" si="3"/>
        <v>-0.3047926906178553</v>
      </c>
      <c r="J43" s="74">
        <f t="shared" si="4"/>
        <v>17.404792690617857</v>
      </c>
      <c r="K43" s="78"/>
      <c r="L43" s="78"/>
      <c r="M43" s="78"/>
      <c r="N43" s="78"/>
      <c r="O43" s="78"/>
    </row>
    <row r="44" spans="1:15" ht="15.6" x14ac:dyDescent="0.3">
      <c r="A44" s="2">
        <v>43</v>
      </c>
      <c r="B44" s="2">
        <v>293.60000000000002</v>
      </c>
      <c r="C44" s="2">
        <v>27.7</v>
      </c>
      <c r="D44" s="2">
        <v>1.8</v>
      </c>
      <c r="E44" s="2">
        <v>20.7</v>
      </c>
      <c r="F44" s="17">
        <f t="shared" si="0"/>
        <v>1.7070503016582201</v>
      </c>
      <c r="G44" s="16">
        <f t="shared" si="1"/>
        <v>0.30056680933705715</v>
      </c>
      <c r="H44" s="16">
        <f t="shared" si="2"/>
        <v>-1.3202856238324723</v>
      </c>
      <c r="I44" s="74">
        <f t="shared" si="3"/>
        <v>-0.93077683497950403</v>
      </c>
      <c r="J44" s="74">
        <f t="shared" si="4"/>
        <v>21.630776834979503</v>
      </c>
      <c r="K44" s="78"/>
      <c r="L44" s="78"/>
      <c r="M44" s="78"/>
      <c r="N44" s="78"/>
      <c r="O44" s="78"/>
    </row>
    <row r="45" spans="1:15" ht="15.6" x14ac:dyDescent="0.3">
      <c r="A45" s="2">
        <v>44</v>
      </c>
      <c r="B45" s="2">
        <v>206.9</v>
      </c>
      <c r="C45" s="2">
        <v>8.4</v>
      </c>
      <c r="D45" s="2">
        <v>26.4</v>
      </c>
      <c r="E45" s="2">
        <v>12.9</v>
      </c>
      <c r="F45" s="17">
        <f t="shared" si="0"/>
        <v>0.69719914321346177</v>
      </c>
      <c r="G45" s="16">
        <f t="shared" si="1"/>
        <v>-0.99457483393269752</v>
      </c>
      <c r="H45" s="16">
        <f t="shared" si="2"/>
        <v>-0.19073751413368875</v>
      </c>
      <c r="I45" s="74">
        <f t="shared" si="3"/>
        <v>-1.1558756711307741</v>
      </c>
      <c r="J45" s="74">
        <f t="shared" si="4"/>
        <v>14.055875671130774</v>
      </c>
      <c r="K45" s="78"/>
      <c r="L45" s="78"/>
      <c r="M45" s="78"/>
      <c r="N45" s="78"/>
      <c r="O45" s="78"/>
    </row>
    <row r="46" spans="1:15" ht="15.6" x14ac:dyDescent="0.3">
      <c r="A46" s="2">
        <v>45</v>
      </c>
      <c r="B46" s="2">
        <v>25.1</v>
      </c>
      <c r="C46" s="2">
        <v>25.7</v>
      </c>
      <c r="D46" s="2">
        <v>43.3</v>
      </c>
      <c r="E46" s="2">
        <v>8.5</v>
      </c>
      <c r="F46" s="17">
        <f t="shared" si="0"/>
        <v>-1.4203434243212218</v>
      </c>
      <c r="G46" s="16">
        <f t="shared" si="1"/>
        <v>0.16635524008630537</v>
      </c>
      <c r="H46" s="16">
        <f t="shared" si="2"/>
        <v>0.58525285391141046</v>
      </c>
      <c r="I46" s="74">
        <f t="shared" si="3"/>
        <v>-0.49508854135300595</v>
      </c>
      <c r="J46" s="74">
        <f t="shared" si="4"/>
        <v>8.995088541353006</v>
      </c>
      <c r="K46" s="78"/>
      <c r="L46" s="78"/>
      <c r="M46" s="78"/>
      <c r="N46" s="78"/>
      <c r="O46" s="78"/>
    </row>
    <row r="47" spans="1:15" ht="15.6" x14ac:dyDescent="0.3">
      <c r="A47" s="2">
        <v>46</v>
      </c>
      <c r="B47" s="2">
        <v>175.1</v>
      </c>
      <c r="C47" s="2">
        <v>22.5</v>
      </c>
      <c r="D47" s="2">
        <v>31.5</v>
      </c>
      <c r="E47" s="2">
        <v>14.9</v>
      </c>
      <c r="F47" s="17">
        <f t="shared" si="0"/>
        <v>0.32680390862818698</v>
      </c>
      <c r="G47" s="16">
        <f t="shared" si="1"/>
        <v>-4.8383270714897453E-2</v>
      </c>
      <c r="H47" s="16">
        <f t="shared" si="2"/>
        <v>4.3437093974595734E-2</v>
      </c>
      <c r="I47" s="74">
        <f t="shared" si="3"/>
        <v>-0.357116633599734</v>
      </c>
      <c r="J47" s="74">
        <f t="shared" si="4"/>
        <v>15.257116633599734</v>
      </c>
      <c r="K47" s="78"/>
      <c r="L47" s="78"/>
      <c r="M47" s="78"/>
      <c r="N47" s="78"/>
      <c r="O47" s="78"/>
    </row>
    <row r="48" spans="1:15" ht="15.6" x14ac:dyDescent="0.3">
      <c r="A48" s="2">
        <v>47</v>
      </c>
      <c r="B48" s="2">
        <v>89.7</v>
      </c>
      <c r="C48" s="2">
        <v>9.9</v>
      </c>
      <c r="D48" s="2">
        <v>35.700000000000003</v>
      </c>
      <c r="E48" s="2">
        <v>10.6</v>
      </c>
      <c r="F48" s="17">
        <f t="shared" si="0"/>
        <v>-0.66790530626434297</v>
      </c>
      <c r="G48" s="16">
        <f t="shared" si="1"/>
        <v>-0.89391615699463367</v>
      </c>
      <c r="H48" s="16">
        <f t="shared" si="2"/>
        <v>0.23628677124024183</v>
      </c>
      <c r="I48" s="74">
        <f t="shared" si="3"/>
        <v>1.6249498504591404</v>
      </c>
      <c r="J48" s="74">
        <f t="shared" si="4"/>
        <v>8.9750501495408592</v>
      </c>
      <c r="K48" s="78"/>
      <c r="L48" s="78"/>
      <c r="M48" s="78"/>
      <c r="N48" s="78"/>
      <c r="O48" s="78"/>
    </row>
    <row r="49" spans="1:15" ht="15.6" x14ac:dyDescent="0.3">
      <c r="A49" s="2">
        <v>48</v>
      </c>
      <c r="B49" s="2">
        <v>239.9</v>
      </c>
      <c r="C49" s="2">
        <v>41.5</v>
      </c>
      <c r="D49" s="2">
        <v>18.5</v>
      </c>
      <c r="E49" s="2">
        <v>23.2</v>
      </c>
      <c r="F49" s="17">
        <f t="shared" si="0"/>
        <v>1.0815715564623316</v>
      </c>
      <c r="G49" s="16">
        <f t="shared" si="1"/>
        <v>1.2266266371672445</v>
      </c>
      <c r="H49" s="16">
        <f t="shared" si="2"/>
        <v>-0.55347857375240372</v>
      </c>
      <c r="I49" s="74">
        <f t="shared" si="3"/>
        <v>1.413317404104113</v>
      </c>
      <c r="J49" s="74">
        <f t="shared" si="4"/>
        <v>21.786682595895886</v>
      </c>
      <c r="K49" s="78"/>
      <c r="L49" s="78"/>
      <c r="M49" s="78"/>
      <c r="N49" s="78"/>
      <c r="O49" s="78"/>
    </row>
    <row r="50" spans="1:15" ht="15.6" x14ac:dyDescent="0.3">
      <c r="A50" s="2">
        <v>49</v>
      </c>
      <c r="B50" s="2">
        <v>227.2</v>
      </c>
      <c r="C50" s="2">
        <v>15.8</v>
      </c>
      <c r="D50" s="2">
        <v>49.9</v>
      </c>
      <c r="E50" s="2">
        <v>14.8</v>
      </c>
      <c r="F50" s="17">
        <f t="shared" si="0"/>
        <v>0.93364641560594819</v>
      </c>
      <c r="G50" s="16">
        <f t="shared" si="1"/>
        <v>-0.49799202770491591</v>
      </c>
      <c r="H50" s="16">
        <f t="shared" si="2"/>
        <v>0.8883023467574257</v>
      </c>
      <c r="I50" s="74">
        <f t="shared" si="3"/>
        <v>-1.6108636163018026</v>
      </c>
      <c r="J50" s="74">
        <f t="shared" si="4"/>
        <v>16.410863616301803</v>
      </c>
      <c r="K50" s="78"/>
      <c r="L50" s="78"/>
      <c r="M50" s="78"/>
      <c r="N50" s="78"/>
      <c r="O50" s="78"/>
    </row>
    <row r="51" spans="1:15" ht="15.6" x14ac:dyDescent="0.3">
      <c r="A51" s="2">
        <v>50</v>
      </c>
      <c r="B51" s="2">
        <v>66.900000000000006</v>
      </c>
      <c r="C51" s="2">
        <v>11.7</v>
      </c>
      <c r="D51" s="2">
        <v>36.799999999999997</v>
      </c>
      <c r="E51" s="2">
        <v>9.6999999999999993</v>
      </c>
      <c r="F51" s="17">
        <f t="shared" si="0"/>
        <v>-0.93347170087265308</v>
      </c>
      <c r="G51" s="16">
        <f t="shared" si="1"/>
        <v>-0.77312574466895712</v>
      </c>
      <c r="H51" s="16">
        <f t="shared" si="2"/>
        <v>0.28679502004791074</v>
      </c>
      <c r="I51" s="74">
        <f t="shared" si="3"/>
        <v>1.4305536931769556</v>
      </c>
      <c r="J51" s="74">
        <f t="shared" si="4"/>
        <v>8.2694463068230437</v>
      </c>
      <c r="K51" s="78"/>
      <c r="L51" s="78"/>
      <c r="M51" s="78"/>
      <c r="N51" s="78"/>
      <c r="O51" s="78"/>
    </row>
    <row r="52" spans="1:15" ht="15.6" x14ac:dyDescent="0.3">
      <c r="A52" s="2">
        <v>51</v>
      </c>
      <c r="B52" s="2">
        <v>199.8</v>
      </c>
      <c r="C52" s="2">
        <v>3.1</v>
      </c>
      <c r="D52" s="2">
        <v>34.6</v>
      </c>
      <c r="E52" s="2">
        <v>11.4</v>
      </c>
      <c r="F52" s="17">
        <f t="shared" si="0"/>
        <v>0.61450083612052309</v>
      </c>
      <c r="G52" s="16">
        <f t="shared" si="1"/>
        <v>-1.3502354924471898</v>
      </c>
      <c r="H52" s="16">
        <f t="shared" si="2"/>
        <v>0.18577852243257259</v>
      </c>
      <c r="I52" s="74">
        <f t="shared" si="3"/>
        <v>-1.344036239609057</v>
      </c>
      <c r="J52" s="74">
        <f t="shared" si="4"/>
        <v>12.744036239609057</v>
      </c>
      <c r="K52" s="78"/>
      <c r="L52" s="78"/>
      <c r="M52" s="78"/>
      <c r="N52" s="78"/>
      <c r="O52" s="78"/>
    </row>
    <row r="53" spans="1:15" ht="15.6" x14ac:dyDescent="0.3">
      <c r="A53" s="2">
        <v>52</v>
      </c>
      <c r="B53" s="2">
        <v>100.4</v>
      </c>
      <c r="C53" s="2">
        <v>9.6</v>
      </c>
      <c r="D53" s="2">
        <v>3.6</v>
      </c>
      <c r="E53" s="2">
        <v>10.7</v>
      </c>
      <c r="F53" s="17">
        <f t="shared" si="0"/>
        <v>-0.54327546318061848</v>
      </c>
      <c r="G53" s="16">
        <f t="shared" si="1"/>
        <v>-0.91404789238224649</v>
      </c>
      <c r="H53" s="16">
        <f t="shared" si="2"/>
        <v>-1.2376357621471954</v>
      </c>
      <c r="I53" s="74">
        <f t="shared" si="3"/>
        <v>1.333754012574639</v>
      </c>
      <c r="J53" s="74">
        <f t="shared" si="4"/>
        <v>9.3662459874253603</v>
      </c>
      <c r="K53" s="78"/>
      <c r="L53" s="78"/>
      <c r="M53" s="78"/>
      <c r="N53" s="78"/>
      <c r="O53" s="78"/>
    </row>
    <row r="54" spans="1:15" ht="15.6" x14ac:dyDescent="0.3">
      <c r="A54" s="2">
        <v>53</v>
      </c>
      <c r="B54" s="2">
        <v>216.4</v>
      </c>
      <c r="C54" s="2">
        <v>41.7</v>
      </c>
      <c r="D54" s="2">
        <v>39.6</v>
      </c>
      <c r="E54" s="2">
        <v>22.6</v>
      </c>
      <c r="F54" s="17">
        <f t="shared" si="0"/>
        <v>0.80785180763359099</v>
      </c>
      <c r="G54" s="16">
        <f t="shared" si="1"/>
        <v>1.2400477940923198</v>
      </c>
      <c r="H54" s="16">
        <f t="shared" si="2"/>
        <v>0.41536147155834163</v>
      </c>
      <c r="I54" s="74">
        <f t="shared" si="3"/>
        <v>1.8251987440015114</v>
      </c>
      <c r="J54" s="74">
        <f t="shared" si="4"/>
        <v>20.77480125599849</v>
      </c>
      <c r="K54" s="78"/>
      <c r="L54" s="78"/>
      <c r="M54" s="78"/>
      <c r="N54" s="78"/>
      <c r="O54" s="78"/>
    </row>
    <row r="55" spans="1:15" ht="15.6" x14ac:dyDescent="0.3">
      <c r="A55" s="2">
        <v>54</v>
      </c>
      <c r="B55" s="2">
        <v>182.6</v>
      </c>
      <c r="C55" s="2">
        <v>46.2</v>
      </c>
      <c r="D55" s="2">
        <v>58.7</v>
      </c>
      <c r="E55" s="2">
        <v>21.2</v>
      </c>
      <c r="F55" s="17">
        <f t="shared" si="0"/>
        <v>0.41416127527565738</v>
      </c>
      <c r="G55" s="16">
        <f t="shared" si="1"/>
        <v>1.5420238249065115</v>
      </c>
      <c r="H55" s="16">
        <f t="shared" si="2"/>
        <v>1.2923683372187793</v>
      </c>
      <c r="I55" s="74">
        <f t="shared" si="3"/>
        <v>1.1031385921252657</v>
      </c>
      <c r="J55" s="74">
        <f t="shared" si="4"/>
        <v>20.096861407874734</v>
      </c>
      <c r="K55" s="78"/>
      <c r="L55" s="78"/>
      <c r="M55" s="78"/>
      <c r="N55" s="78"/>
      <c r="O55" s="78"/>
    </row>
    <row r="56" spans="1:15" ht="15.6" x14ac:dyDescent="0.3">
      <c r="A56" s="2">
        <v>55</v>
      </c>
      <c r="B56" s="2">
        <v>262.7</v>
      </c>
      <c r="C56" s="2">
        <v>28.8</v>
      </c>
      <c r="D56" s="2">
        <v>15.9</v>
      </c>
      <c r="E56" s="2">
        <v>20.2</v>
      </c>
      <c r="F56" s="17">
        <f t="shared" si="0"/>
        <v>1.3471379510706416</v>
      </c>
      <c r="G56" s="16">
        <f t="shared" si="1"/>
        <v>0.37438317242497071</v>
      </c>
      <c r="H56" s="16">
        <f t="shared" si="2"/>
        <v>-0.67286170729780359</v>
      </c>
      <c r="I56" s="74">
        <f t="shared" si="3"/>
        <v>-0.23941519570399095</v>
      </c>
      <c r="J56" s="74">
        <f t="shared" si="4"/>
        <v>20.43941519570399</v>
      </c>
      <c r="K56" s="78"/>
      <c r="L56" s="78"/>
      <c r="M56" s="78"/>
      <c r="N56" s="78"/>
      <c r="O56" s="78"/>
    </row>
    <row r="57" spans="1:15" ht="15.6" x14ac:dyDescent="0.3">
      <c r="A57" s="2">
        <v>56</v>
      </c>
      <c r="B57" s="2">
        <v>198.9</v>
      </c>
      <c r="C57" s="2">
        <v>49.4</v>
      </c>
      <c r="D57" s="2">
        <v>60</v>
      </c>
      <c r="E57" s="2">
        <v>23.7</v>
      </c>
      <c r="F57" s="17">
        <f t="shared" si="0"/>
        <v>0.60401795212282661</v>
      </c>
      <c r="G57" s="16">
        <f t="shared" si="1"/>
        <v>1.756762335707714</v>
      </c>
      <c r="H57" s="16">
        <f t="shared" si="2"/>
        <v>1.3520599039914791</v>
      </c>
      <c r="I57" s="74">
        <f t="shared" si="3"/>
        <v>2.2516825200482202</v>
      </c>
      <c r="J57" s="74">
        <f t="shared" si="4"/>
        <v>21.448317479951779</v>
      </c>
      <c r="K57" s="78"/>
      <c r="L57" s="78"/>
      <c r="M57" s="78"/>
      <c r="N57" s="78"/>
      <c r="O57" s="78"/>
    </row>
    <row r="58" spans="1:15" ht="15.6" x14ac:dyDescent="0.3">
      <c r="A58" s="2">
        <v>57</v>
      </c>
      <c r="B58" s="2">
        <v>7.3</v>
      </c>
      <c r="C58" s="2">
        <v>28.1</v>
      </c>
      <c r="D58" s="2">
        <v>41.4</v>
      </c>
      <c r="E58" s="2">
        <v>5.5</v>
      </c>
      <c r="F58" s="17">
        <f t="shared" si="0"/>
        <v>-1.6276715744978847</v>
      </c>
      <c r="G58" s="16">
        <f t="shared" si="1"/>
        <v>0.32740912318720766</v>
      </c>
      <c r="H58" s="16">
        <f t="shared" si="2"/>
        <v>0.49801133324361835</v>
      </c>
      <c r="I58" s="74">
        <f t="shared" si="3"/>
        <v>-3.1276773245467968</v>
      </c>
      <c r="J58" s="74">
        <f t="shared" si="4"/>
        <v>8.6276773245467968</v>
      </c>
      <c r="K58" s="78"/>
      <c r="L58" s="78"/>
      <c r="M58" s="78"/>
      <c r="N58" s="78"/>
      <c r="O58" s="78"/>
    </row>
    <row r="59" spans="1:15" ht="15.6" x14ac:dyDescent="0.3">
      <c r="A59" s="2">
        <v>58</v>
      </c>
      <c r="B59" s="2">
        <v>136.19999999999999</v>
      </c>
      <c r="C59" s="2">
        <v>19.2</v>
      </c>
      <c r="D59" s="2">
        <v>16.600000000000001</v>
      </c>
      <c r="E59" s="2">
        <v>13.2</v>
      </c>
      <c r="F59" s="17">
        <f t="shared" si="0"/>
        <v>-0.12628963305002644</v>
      </c>
      <c r="G59" s="16">
        <f t="shared" si="1"/>
        <v>-0.26983235997863797</v>
      </c>
      <c r="H59" s="16">
        <f t="shared" si="2"/>
        <v>-0.64072009442019595</v>
      </c>
      <c r="I59" s="74">
        <f t="shared" si="3"/>
        <v>0.36800960205625621</v>
      </c>
      <c r="J59" s="74">
        <f t="shared" si="4"/>
        <v>12.831990397943743</v>
      </c>
      <c r="K59" s="78"/>
      <c r="L59" s="78"/>
      <c r="M59" s="78"/>
      <c r="N59" s="78"/>
      <c r="O59" s="78"/>
    </row>
    <row r="60" spans="1:15" ht="15.6" x14ac:dyDescent="0.3">
      <c r="A60" s="2">
        <v>59</v>
      </c>
      <c r="B60" s="2">
        <v>210.8</v>
      </c>
      <c r="C60" s="2">
        <v>49.6</v>
      </c>
      <c r="D60" s="2">
        <v>37.700000000000003</v>
      </c>
      <c r="E60" s="2">
        <v>23.8</v>
      </c>
      <c r="F60" s="17">
        <f t="shared" si="0"/>
        <v>0.74262497387014648</v>
      </c>
      <c r="G60" s="16">
        <f t="shared" si="1"/>
        <v>1.7701834926327893</v>
      </c>
      <c r="H60" s="16">
        <f t="shared" si="2"/>
        <v>0.32811995089054946</v>
      </c>
      <c r="I60" s="74">
        <f t="shared" si="3"/>
        <v>1.7982036561670078</v>
      </c>
      <c r="J60" s="74">
        <f t="shared" si="4"/>
        <v>22.001796343832993</v>
      </c>
      <c r="K60" s="78"/>
      <c r="L60" s="78"/>
      <c r="M60" s="78"/>
      <c r="N60" s="78"/>
      <c r="O60" s="78"/>
    </row>
    <row r="61" spans="1:15" ht="15.6" x14ac:dyDescent="0.3">
      <c r="A61" s="2">
        <v>60</v>
      </c>
      <c r="B61" s="2">
        <v>210.7</v>
      </c>
      <c r="C61" s="2">
        <v>29.5</v>
      </c>
      <c r="D61" s="2">
        <v>9.3000000000000007</v>
      </c>
      <c r="E61" s="2">
        <v>18.399999999999999</v>
      </c>
      <c r="F61" s="17">
        <f t="shared" si="0"/>
        <v>0.74146020898151321</v>
      </c>
      <c r="G61" s="16">
        <f t="shared" si="1"/>
        <v>0.42135722166273382</v>
      </c>
      <c r="H61" s="16">
        <f t="shared" si="2"/>
        <v>-0.97591120014381871</v>
      </c>
      <c r="I61" s="74">
        <f t="shared" si="3"/>
        <v>0.22280208244108124</v>
      </c>
      <c r="J61" s="74">
        <f t="shared" si="4"/>
        <v>18.177197917558917</v>
      </c>
      <c r="K61" s="78"/>
      <c r="L61" s="78"/>
      <c r="M61" s="78"/>
      <c r="N61" s="78"/>
      <c r="O61" s="78"/>
    </row>
    <row r="62" spans="1:15" ht="15.6" x14ac:dyDescent="0.3">
      <c r="A62" s="2">
        <v>61</v>
      </c>
      <c r="B62" s="2">
        <v>53.5</v>
      </c>
      <c r="C62" s="2">
        <v>2</v>
      </c>
      <c r="D62" s="2">
        <v>21.4</v>
      </c>
      <c r="E62" s="2">
        <v>8.1</v>
      </c>
      <c r="F62" s="17">
        <f t="shared" si="0"/>
        <v>-1.0895501959494671</v>
      </c>
      <c r="G62" s="16">
        <f t="shared" si="1"/>
        <v>-1.4240518555351032</v>
      </c>
      <c r="H62" s="16">
        <f t="shared" si="2"/>
        <v>-0.42032046325945777</v>
      </c>
      <c r="I62" s="74">
        <f t="shared" si="3"/>
        <v>2.2909292798543888</v>
      </c>
      <c r="J62" s="74">
        <f t="shared" si="4"/>
        <v>5.8090707201456109</v>
      </c>
      <c r="K62" s="78"/>
      <c r="L62" s="78"/>
      <c r="M62" s="78"/>
      <c r="N62" s="78"/>
      <c r="O62" s="78"/>
    </row>
    <row r="63" spans="1:15" ht="15.6" x14ac:dyDescent="0.3">
      <c r="A63" s="2">
        <v>62</v>
      </c>
      <c r="B63" s="2">
        <v>261.3</v>
      </c>
      <c r="C63" s="2">
        <v>42.7</v>
      </c>
      <c r="D63" s="2">
        <v>54.7</v>
      </c>
      <c r="E63" s="2">
        <v>24.2</v>
      </c>
      <c r="F63" s="17">
        <f t="shared" si="0"/>
        <v>1.3308312426297808</v>
      </c>
      <c r="G63" s="16">
        <f t="shared" si="1"/>
        <v>1.3071535787176958</v>
      </c>
      <c r="H63" s="16">
        <f t="shared" si="2"/>
        <v>1.1087019779181642</v>
      </c>
      <c r="I63" s="74">
        <f t="shared" si="3"/>
        <v>1.1573544347495357</v>
      </c>
      <c r="J63" s="74">
        <f t="shared" si="4"/>
        <v>23.042645565250464</v>
      </c>
      <c r="K63" s="78"/>
      <c r="L63" s="78"/>
      <c r="M63" s="78"/>
      <c r="N63" s="78"/>
      <c r="O63" s="78"/>
    </row>
    <row r="64" spans="1:15" ht="15.6" x14ac:dyDescent="0.3">
      <c r="A64" s="2">
        <v>63</v>
      </c>
      <c r="B64" s="2">
        <v>239.3</v>
      </c>
      <c r="C64" s="2">
        <v>15.5</v>
      </c>
      <c r="D64" s="2">
        <v>27.3</v>
      </c>
      <c r="E64" s="2">
        <v>15.7</v>
      </c>
      <c r="F64" s="17">
        <f t="shared" si="0"/>
        <v>1.074582967130534</v>
      </c>
      <c r="G64" s="16">
        <f t="shared" si="1"/>
        <v>-0.51812376309252872</v>
      </c>
      <c r="H64" s="16">
        <f t="shared" si="2"/>
        <v>-0.14941258329105023</v>
      </c>
      <c r="I64" s="74">
        <f t="shared" si="3"/>
        <v>-1.1790367347866244</v>
      </c>
      <c r="J64" s="74">
        <f t="shared" si="4"/>
        <v>16.879036734786624</v>
      </c>
      <c r="K64" s="78"/>
      <c r="L64" s="78"/>
      <c r="M64" s="78"/>
      <c r="N64" s="78"/>
      <c r="O64" s="78"/>
    </row>
    <row r="65" spans="1:15" ht="15.6" x14ac:dyDescent="0.3">
      <c r="A65" s="2">
        <v>64</v>
      </c>
      <c r="B65" s="2">
        <v>102.7</v>
      </c>
      <c r="C65" s="2">
        <v>29.6</v>
      </c>
      <c r="D65" s="2">
        <v>8.4</v>
      </c>
      <c r="E65" s="2">
        <v>14</v>
      </c>
      <c r="F65" s="17">
        <f t="shared" si="0"/>
        <v>-0.51648587074206087</v>
      </c>
      <c r="G65" s="16">
        <f t="shared" si="1"/>
        <v>0.42806780012527146</v>
      </c>
      <c r="H65" s="16">
        <f t="shared" si="2"/>
        <v>-1.0172361309864573</v>
      </c>
      <c r="I65" s="74">
        <f t="shared" si="3"/>
        <v>0.75877362630532552</v>
      </c>
      <c r="J65" s="74">
        <f t="shared" si="4"/>
        <v>13.241226373694674</v>
      </c>
      <c r="K65" s="78"/>
      <c r="L65" s="78"/>
      <c r="M65" s="78"/>
      <c r="N65" s="78"/>
      <c r="O65" s="78"/>
    </row>
    <row r="66" spans="1:15" ht="15.6" x14ac:dyDescent="0.3">
      <c r="A66" s="2">
        <v>65</v>
      </c>
      <c r="B66" s="2">
        <v>131.1</v>
      </c>
      <c r="C66" s="2">
        <v>42.8</v>
      </c>
      <c r="D66" s="2">
        <v>28.9</v>
      </c>
      <c r="E66" s="2">
        <v>18</v>
      </c>
      <c r="F66" s="17">
        <f t="shared" si="0"/>
        <v>-0.18569264237030628</v>
      </c>
      <c r="G66" s="16">
        <f t="shared" si="1"/>
        <v>1.313864157180233</v>
      </c>
      <c r="H66" s="16">
        <f t="shared" si="2"/>
        <v>-7.594603957080423E-2</v>
      </c>
      <c r="I66" s="74">
        <f t="shared" si="3"/>
        <v>0.9450170941729894</v>
      </c>
      <c r="J66" s="74">
        <f t="shared" si="4"/>
        <v>17.054982905827011</v>
      </c>
      <c r="K66" s="78"/>
      <c r="L66" s="78"/>
      <c r="M66" s="78"/>
      <c r="N66" s="78"/>
      <c r="O66" s="78"/>
    </row>
    <row r="67" spans="1:15" ht="15.6" x14ac:dyDescent="0.3">
      <c r="A67" s="2">
        <v>66</v>
      </c>
      <c r="B67" s="2">
        <v>69</v>
      </c>
      <c r="C67" s="2">
        <v>9.3000000000000007</v>
      </c>
      <c r="D67" s="2">
        <v>0.9</v>
      </c>
      <c r="E67" s="2">
        <v>9.3000000000000007</v>
      </c>
      <c r="F67" s="17">
        <f t="shared" ref="F67:F130" si="5">(B67-AVERAGE($B$2:$B$201))/_xlfn.STDEV.S($B$2:$B$201)</f>
        <v>-0.90901163821136144</v>
      </c>
      <c r="G67" s="16">
        <f t="shared" ref="G67:G130" si="6">(C67-AVERAGE($C$2:$C$201))/_xlfn.STDEV.S($C$2:$C$201)</f>
        <v>-0.93417962776985919</v>
      </c>
      <c r="H67" s="16">
        <f t="shared" ref="H67:H130" si="7">(D67-AVERAGE($D$2:$D$201))/_xlfn.STDEV.S($D$2:$D$201)</f>
        <v>-1.3616105546751107</v>
      </c>
      <c r="I67" s="74">
        <f t="shared" ref="I67:I130" si="8">$E67-$J67</f>
        <v>1.4340341063056687</v>
      </c>
      <c r="J67" s="74">
        <f t="shared" ref="J67:J130" si="9">$N$2 + $M$2*B67 + $L$2*C67 - $K$2*D67</f>
        <v>7.865965893694332</v>
      </c>
      <c r="K67" s="78"/>
      <c r="L67" s="78"/>
      <c r="M67" s="78"/>
      <c r="N67" s="78"/>
      <c r="O67" s="78"/>
    </row>
    <row r="68" spans="1:15" ht="15.6" x14ac:dyDescent="0.3">
      <c r="A68" s="2">
        <v>67</v>
      </c>
      <c r="B68" s="2">
        <v>31.5</v>
      </c>
      <c r="C68" s="2">
        <v>24.6</v>
      </c>
      <c r="D68" s="2">
        <v>2.2000000000000002</v>
      </c>
      <c r="E68" s="2">
        <v>9.5</v>
      </c>
      <c r="F68" s="17">
        <f t="shared" si="5"/>
        <v>-1.3457984714487137</v>
      </c>
      <c r="G68" s="16">
        <f t="shared" si="6"/>
        <v>9.2538876998392014E-2</v>
      </c>
      <c r="H68" s="16">
        <f t="shared" si="7"/>
        <v>-1.3019189879024109</v>
      </c>
      <c r="I68" s="74">
        <f t="shared" si="8"/>
        <v>0.47355535754391198</v>
      </c>
      <c r="J68" s="74">
        <f t="shared" si="9"/>
        <v>9.026444642456088</v>
      </c>
      <c r="K68" s="78"/>
      <c r="L68" s="78"/>
      <c r="M68" s="78"/>
      <c r="N68" s="78"/>
      <c r="O68" s="78"/>
    </row>
    <row r="69" spans="1:15" ht="15.6" x14ac:dyDescent="0.3">
      <c r="A69" s="2">
        <v>68</v>
      </c>
      <c r="B69" s="2">
        <v>139.30000000000001</v>
      </c>
      <c r="C69" s="2">
        <v>14.5</v>
      </c>
      <c r="D69" s="2">
        <v>10.199999999999999</v>
      </c>
      <c r="E69" s="2">
        <v>13.4</v>
      </c>
      <c r="F69" s="17">
        <f t="shared" si="5"/>
        <v>-9.018192150240506E-2</v>
      </c>
      <c r="G69" s="16">
        <f t="shared" si="6"/>
        <v>-0.58522954771790459</v>
      </c>
      <c r="H69" s="16">
        <f t="shared" si="7"/>
        <v>-0.93458626930118038</v>
      </c>
      <c r="I69" s="74">
        <f t="shared" si="8"/>
        <v>1.3187366324278766</v>
      </c>
      <c r="J69" s="74">
        <f t="shared" si="9"/>
        <v>12.081263367572124</v>
      </c>
      <c r="K69" s="78"/>
      <c r="L69" s="78"/>
      <c r="M69" s="78"/>
      <c r="N69" s="78"/>
      <c r="O69" s="78"/>
    </row>
    <row r="70" spans="1:15" ht="15.6" x14ac:dyDescent="0.3">
      <c r="A70" s="2">
        <v>69</v>
      </c>
      <c r="B70" s="2">
        <v>237.4</v>
      </c>
      <c r="C70" s="2">
        <v>27.5</v>
      </c>
      <c r="D70" s="2">
        <v>11</v>
      </c>
      <c r="E70" s="2">
        <v>18.899999999999999</v>
      </c>
      <c r="F70" s="17">
        <f t="shared" si="5"/>
        <v>1.0524524342465083</v>
      </c>
      <c r="G70" s="16">
        <f t="shared" si="6"/>
        <v>0.28714565241198203</v>
      </c>
      <c r="H70" s="16">
        <f t="shared" si="7"/>
        <v>-0.89785299744105729</v>
      </c>
      <c r="I70" s="74">
        <f t="shared" si="8"/>
        <v>-0.12781265664629871</v>
      </c>
      <c r="J70" s="74">
        <f t="shared" si="9"/>
        <v>19.027812656646297</v>
      </c>
      <c r="K70" s="78"/>
      <c r="L70" s="78"/>
      <c r="M70" s="78"/>
      <c r="N70" s="78"/>
      <c r="O70" s="78"/>
    </row>
    <row r="71" spans="1:15" ht="15.6" x14ac:dyDescent="0.3">
      <c r="A71" s="2">
        <v>70</v>
      </c>
      <c r="B71" s="2">
        <v>216.8</v>
      </c>
      <c r="C71" s="2">
        <v>43.9</v>
      </c>
      <c r="D71" s="2">
        <v>27.2</v>
      </c>
      <c r="E71" s="2">
        <v>22.3</v>
      </c>
      <c r="F71" s="17">
        <f t="shared" si="5"/>
        <v>0.81251086718812282</v>
      </c>
      <c r="G71" s="16">
        <f t="shared" si="6"/>
        <v>1.3876805202681466</v>
      </c>
      <c r="H71" s="16">
        <f t="shared" si="7"/>
        <v>-0.15400424227356566</v>
      </c>
      <c r="I71" s="74">
        <f t="shared" si="8"/>
        <v>1.1095786460842234</v>
      </c>
      <c r="J71" s="74">
        <f t="shared" si="9"/>
        <v>21.190421353915777</v>
      </c>
      <c r="K71" s="78"/>
      <c r="L71" s="78"/>
      <c r="M71" s="78"/>
      <c r="N71" s="78"/>
      <c r="O71" s="78"/>
    </row>
    <row r="72" spans="1:15" ht="15.6" x14ac:dyDescent="0.3">
      <c r="A72" s="2">
        <v>71</v>
      </c>
      <c r="B72" s="2">
        <v>199.1</v>
      </c>
      <c r="C72" s="2">
        <v>30.6</v>
      </c>
      <c r="D72" s="2">
        <v>38.700000000000003</v>
      </c>
      <c r="E72" s="2">
        <v>18.3</v>
      </c>
      <c r="F72" s="17">
        <f t="shared" si="5"/>
        <v>0.60634748190009236</v>
      </c>
      <c r="G72" s="16">
        <f t="shared" si="6"/>
        <v>0.49517358475064738</v>
      </c>
      <c r="H72" s="16">
        <f t="shared" si="7"/>
        <v>0.37403654071570325</v>
      </c>
      <c r="I72" s="74">
        <f t="shared" si="8"/>
        <v>0.40838393454827226</v>
      </c>
      <c r="J72" s="74">
        <f t="shared" si="9"/>
        <v>17.891616065451728</v>
      </c>
      <c r="K72" s="78"/>
      <c r="L72" s="78"/>
      <c r="M72" s="78"/>
      <c r="N72" s="78"/>
      <c r="O72" s="78"/>
    </row>
    <row r="73" spans="1:15" ht="15.6" x14ac:dyDescent="0.3">
      <c r="A73" s="2">
        <v>72</v>
      </c>
      <c r="B73" s="2">
        <v>109.8</v>
      </c>
      <c r="C73" s="2">
        <v>14.3</v>
      </c>
      <c r="D73" s="2">
        <v>31.7</v>
      </c>
      <c r="E73" s="2">
        <v>12.4</v>
      </c>
      <c r="F73" s="17">
        <f t="shared" si="5"/>
        <v>-0.4337875636491223</v>
      </c>
      <c r="G73" s="16">
        <f t="shared" si="6"/>
        <v>-0.59865070464297976</v>
      </c>
      <c r="H73" s="16">
        <f t="shared" si="7"/>
        <v>5.2620411939626459E-2</v>
      </c>
      <c r="I73" s="74">
        <f t="shared" si="8"/>
        <v>1.6805400448506251</v>
      </c>
      <c r="J73" s="74">
        <f t="shared" si="9"/>
        <v>10.719459955149375</v>
      </c>
      <c r="K73" s="78"/>
      <c r="L73" s="78"/>
      <c r="M73" s="78"/>
      <c r="N73" s="78"/>
      <c r="O73" s="78"/>
    </row>
    <row r="74" spans="1:15" ht="15.6" x14ac:dyDescent="0.3">
      <c r="A74" s="2">
        <v>73</v>
      </c>
      <c r="B74" s="2">
        <v>26.8</v>
      </c>
      <c r="C74" s="2">
        <v>33</v>
      </c>
      <c r="D74" s="2">
        <v>19.3</v>
      </c>
      <c r="E74" s="2">
        <v>8.8000000000000007</v>
      </c>
      <c r="F74" s="17">
        <f t="shared" si="5"/>
        <v>-1.4005424212144617</v>
      </c>
      <c r="G74" s="16">
        <f t="shared" si="6"/>
        <v>0.6562274678515494</v>
      </c>
      <c r="H74" s="16">
        <f t="shared" si="7"/>
        <v>-0.51674530189228063</v>
      </c>
      <c r="I74" s="74">
        <f t="shared" si="8"/>
        <v>-1.6143239766244282</v>
      </c>
      <c r="J74" s="74">
        <f t="shared" si="9"/>
        <v>10.414323976624429</v>
      </c>
      <c r="K74" s="78"/>
      <c r="L74" s="78"/>
      <c r="M74" s="78"/>
      <c r="N74" s="78"/>
      <c r="O74" s="78"/>
    </row>
    <row r="75" spans="1:15" ht="15.6" x14ac:dyDescent="0.3">
      <c r="A75" s="2">
        <v>74</v>
      </c>
      <c r="B75" s="2">
        <v>129.4</v>
      </c>
      <c r="C75" s="2">
        <v>5.7</v>
      </c>
      <c r="D75" s="2">
        <v>31.3</v>
      </c>
      <c r="E75" s="2">
        <v>11</v>
      </c>
      <c r="F75" s="17">
        <f t="shared" si="5"/>
        <v>-0.20549364547706611</v>
      </c>
      <c r="G75" s="16">
        <f t="shared" si="6"/>
        <v>-1.1757604524212124</v>
      </c>
      <c r="H75" s="16">
        <f t="shared" si="7"/>
        <v>3.4253776009565001E-2</v>
      </c>
      <c r="I75" s="74">
        <f t="shared" si="8"/>
        <v>1.0002013447354372</v>
      </c>
      <c r="J75" s="74">
        <f t="shared" si="9"/>
        <v>9.9997986552645628</v>
      </c>
      <c r="K75" s="78"/>
      <c r="L75" s="78"/>
      <c r="M75" s="78"/>
      <c r="N75" s="78"/>
      <c r="O75" s="78"/>
    </row>
    <row r="76" spans="1:15" ht="15.6" x14ac:dyDescent="0.3">
      <c r="A76" s="2">
        <v>75</v>
      </c>
      <c r="B76" s="2">
        <v>213.4</v>
      </c>
      <c r="C76" s="2">
        <v>24.6</v>
      </c>
      <c r="D76" s="2">
        <v>13.1</v>
      </c>
      <c r="E76" s="2">
        <v>17</v>
      </c>
      <c r="F76" s="17">
        <f t="shared" si="5"/>
        <v>0.77290886097460276</v>
      </c>
      <c r="G76" s="16">
        <f t="shared" si="6"/>
        <v>9.2538876998392014E-2</v>
      </c>
      <c r="H76" s="16">
        <f t="shared" si="7"/>
        <v>-0.80142815880823426</v>
      </c>
      <c r="I76" s="74">
        <f t="shared" si="8"/>
        <v>-0.38419868348363906</v>
      </c>
      <c r="J76" s="74">
        <f t="shared" si="9"/>
        <v>17.384198683483639</v>
      </c>
      <c r="K76" s="78"/>
      <c r="L76" s="78"/>
      <c r="M76" s="78"/>
      <c r="N76" s="78"/>
      <c r="O76" s="78"/>
    </row>
    <row r="77" spans="1:15" ht="15.6" x14ac:dyDescent="0.3">
      <c r="A77" s="2">
        <v>76</v>
      </c>
      <c r="B77" s="2">
        <v>16.899999999999999</v>
      </c>
      <c r="C77" s="2">
        <v>43.7</v>
      </c>
      <c r="D77" s="2">
        <v>89.4</v>
      </c>
      <c r="E77" s="2">
        <v>8.6999999999999993</v>
      </c>
      <c r="F77" s="17">
        <f t="shared" si="5"/>
        <v>-1.5158541451891228</v>
      </c>
      <c r="G77" s="16">
        <f t="shared" si="6"/>
        <v>1.3742593633430717</v>
      </c>
      <c r="H77" s="16">
        <f t="shared" si="7"/>
        <v>2.7020076448510011</v>
      </c>
      <c r="I77" s="74">
        <f t="shared" si="8"/>
        <v>-3.3676581424571967</v>
      </c>
      <c r="J77" s="74">
        <f t="shared" si="9"/>
        <v>12.067658142457196</v>
      </c>
      <c r="K77" s="78"/>
      <c r="L77" s="78"/>
      <c r="M77" s="78"/>
      <c r="N77" s="78"/>
      <c r="O77" s="78"/>
    </row>
    <row r="78" spans="1:15" ht="15.6" x14ac:dyDescent="0.3">
      <c r="A78" s="2">
        <v>77</v>
      </c>
      <c r="B78" s="2">
        <v>27.5</v>
      </c>
      <c r="C78" s="2">
        <v>1.6</v>
      </c>
      <c r="D78" s="2">
        <v>20.7</v>
      </c>
      <c r="E78" s="2">
        <v>6.9</v>
      </c>
      <c r="F78" s="17">
        <f t="shared" si="5"/>
        <v>-1.3923890669940311</v>
      </c>
      <c r="G78" s="16">
        <f t="shared" si="6"/>
        <v>-1.4508941693852535</v>
      </c>
      <c r="H78" s="16">
        <f t="shared" si="7"/>
        <v>-0.45246207613706541</v>
      </c>
      <c r="I78" s="74">
        <f t="shared" si="8"/>
        <v>2.3596584819615902</v>
      </c>
      <c r="J78" s="74">
        <f t="shared" si="9"/>
        <v>4.5403415180384101</v>
      </c>
      <c r="K78" s="78"/>
      <c r="L78" s="78"/>
      <c r="M78" s="78"/>
      <c r="N78" s="78"/>
      <c r="O78" s="78"/>
    </row>
    <row r="79" spans="1:15" ht="15.6" x14ac:dyDescent="0.3">
      <c r="A79" s="2">
        <v>78</v>
      </c>
      <c r="B79" s="2">
        <v>120.5</v>
      </c>
      <c r="C79" s="2">
        <v>28.5</v>
      </c>
      <c r="D79" s="2">
        <v>14.2</v>
      </c>
      <c r="E79" s="2">
        <v>14.2</v>
      </c>
      <c r="F79" s="17">
        <f t="shared" si="5"/>
        <v>-0.30915772056539775</v>
      </c>
      <c r="G79" s="16">
        <f t="shared" si="6"/>
        <v>0.3542514370373579</v>
      </c>
      <c r="H79" s="16">
        <f t="shared" si="7"/>
        <v>-0.75091991000056513</v>
      </c>
      <c r="I79" s="74">
        <f t="shared" si="8"/>
        <v>0.34152486835335871</v>
      </c>
      <c r="J79" s="74">
        <f t="shared" si="9"/>
        <v>13.858475131646641</v>
      </c>
      <c r="K79" s="78"/>
      <c r="L79" s="78"/>
      <c r="M79" s="78"/>
      <c r="N79" s="78"/>
      <c r="O79" s="78"/>
    </row>
    <row r="80" spans="1:15" ht="15.6" x14ac:dyDescent="0.3">
      <c r="A80" s="2">
        <v>79</v>
      </c>
      <c r="B80" s="2">
        <v>5.4</v>
      </c>
      <c r="C80" s="2">
        <v>29.9</v>
      </c>
      <c r="D80" s="2">
        <v>9.4</v>
      </c>
      <c r="E80" s="2">
        <v>5.3</v>
      </c>
      <c r="F80" s="17">
        <f t="shared" si="5"/>
        <v>-1.6498021073819107</v>
      </c>
      <c r="G80" s="16">
        <f t="shared" si="6"/>
        <v>0.44819953551288405</v>
      </c>
      <c r="H80" s="16">
        <f t="shared" si="7"/>
        <v>-0.97131954116130337</v>
      </c>
      <c r="I80" s="74">
        <f t="shared" si="8"/>
        <v>-3.5362091632727237</v>
      </c>
      <c r="J80" s="74">
        <f t="shared" si="9"/>
        <v>8.8362091632727235</v>
      </c>
      <c r="K80" s="78"/>
      <c r="L80" s="78"/>
      <c r="M80" s="78"/>
      <c r="N80" s="78"/>
      <c r="O80" s="78"/>
    </row>
    <row r="81" spans="1:15" ht="15.6" x14ac:dyDescent="0.3">
      <c r="A81" s="2">
        <v>80</v>
      </c>
      <c r="B81" s="2">
        <v>116</v>
      </c>
      <c r="C81" s="2">
        <v>7.7</v>
      </c>
      <c r="D81" s="2">
        <v>23.1</v>
      </c>
      <c r="E81" s="2">
        <v>11</v>
      </c>
      <c r="F81" s="17">
        <f t="shared" si="5"/>
        <v>-0.36157214055388004</v>
      </c>
      <c r="G81" s="16">
        <f t="shared" si="6"/>
        <v>-1.0415488831704607</v>
      </c>
      <c r="H81" s="16">
        <f t="shared" si="7"/>
        <v>-0.34226226055669617</v>
      </c>
      <c r="I81" s="74">
        <f t="shared" si="8"/>
        <v>1.249525615773166</v>
      </c>
      <c r="J81" s="74">
        <f t="shared" si="9"/>
        <v>9.750474384226834</v>
      </c>
      <c r="K81" s="78"/>
      <c r="L81" s="78"/>
      <c r="M81" s="78"/>
      <c r="N81" s="78"/>
      <c r="O81" s="78"/>
    </row>
    <row r="82" spans="1:15" ht="15.6" x14ac:dyDescent="0.3">
      <c r="A82" s="2">
        <v>81</v>
      </c>
      <c r="B82" s="2">
        <v>76.400000000000006</v>
      </c>
      <c r="C82" s="2">
        <v>26.7</v>
      </c>
      <c r="D82" s="2">
        <v>22.3</v>
      </c>
      <c r="E82" s="2">
        <v>11.8</v>
      </c>
      <c r="F82" s="17">
        <f t="shared" si="5"/>
        <v>-0.82281903645252386</v>
      </c>
      <c r="G82" s="16">
        <f t="shared" si="6"/>
        <v>0.23346102471168126</v>
      </c>
      <c r="H82" s="16">
        <f t="shared" si="7"/>
        <v>-0.37899553241681921</v>
      </c>
      <c r="I82" s="74">
        <f t="shared" si="8"/>
        <v>0.2920259249506465</v>
      </c>
      <c r="J82" s="74">
        <f t="shared" si="9"/>
        <v>11.507974075049354</v>
      </c>
      <c r="K82" s="78"/>
      <c r="L82" s="78"/>
      <c r="M82" s="78"/>
      <c r="N82" s="78"/>
      <c r="O82" s="78"/>
    </row>
    <row r="83" spans="1:15" ht="15.6" x14ac:dyDescent="0.3">
      <c r="A83" s="2">
        <v>82</v>
      </c>
      <c r="B83" s="2">
        <v>239.8</v>
      </c>
      <c r="C83" s="2">
        <v>4.0999999999999996</v>
      </c>
      <c r="D83" s="2">
        <v>36.9</v>
      </c>
      <c r="E83" s="2">
        <v>12.3</v>
      </c>
      <c r="F83" s="17">
        <f t="shared" si="5"/>
        <v>1.0804067915736988</v>
      </c>
      <c r="G83" s="16">
        <f t="shared" si="6"/>
        <v>-1.283129707821814</v>
      </c>
      <c r="H83" s="16">
        <f t="shared" si="7"/>
        <v>0.2913866790304262</v>
      </c>
      <c r="I83" s="74">
        <f t="shared" si="8"/>
        <v>-2.4699367708117101</v>
      </c>
      <c r="J83" s="74">
        <f t="shared" si="9"/>
        <v>14.769936770811711</v>
      </c>
      <c r="K83" s="78"/>
      <c r="L83" s="78"/>
      <c r="M83" s="78"/>
      <c r="N83" s="78"/>
      <c r="O83" s="78"/>
    </row>
    <row r="84" spans="1:15" ht="15.6" x14ac:dyDescent="0.3">
      <c r="A84" s="2">
        <v>83</v>
      </c>
      <c r="B84" s="2">
        <v>75.3</v>
      </c>
      <c r="C84" s="2">
        <v>20.3</v>
      </c>
      <c r="D84" s="2">
        <v>32.5</v>
      </c>
      <c r="E84" s="2">
        <v>11.3</v>
      </c>
      <c r="F84" s="17">
        <f t="shared" si="5"/>
        <v>-0.83563145022748631</v>
      </c>
      <c r="G84" s="16">
        <f t="shared" si="6"/>
        <v>-0.19601599689072438</v>
      </c>
      <c r="H84" s="16">
        <f t="shared" si="7"/>
        <v>8.9353683799749534E-2</v>
      </c>
      <c r="I84" s="74">
        <f t="shared" si="8"/>
        <v>1.0329465015246555</v>
      </c>
      <c r="J84" s="74">
        <f t="shared" si="9"/>
        <v>10.267053498475345</v>
      </c>
      <c r="K84" s="78"/>
      <c r="L84" s="78"/>
      <c r="M84" s="78"/>
      <c r="N84" s="78"/>
      <c r="O84" s="78"/>
    </row>
    <row r="85" spans="1:15" ht="15.6" x14ac:dyDescent="0.3">
      <c r="A85" s="2">
        <v>84</v>
      </c>
      <c r="B85" s="2">
        <v>68.400000000000006</v>
      </c>
      <c r="C85" s="2">
        <v>44.5</v>
      </c>
      <c r="D85" s="2">
        <v>35.6</v>
      </c>
      <c r="E85" s="2">
        <v>13.6</v>
      </c>
      <c r="F85" s="17">
        <f t="shared" si="5"/>
        <v>-0.91600022754315902</v>
      </c>
      <c r="G85" s="16">
        <f t="shared" si="6"/>
        <v>1.4279439910433722</v>
      </c>
      <c r="H85" s="16">
        <f t="shared" si="7"/>
        <v>0.2316951122577264</v>
      </c>
      <c r="I85" s="74">
        <f t="shared" si="8"/>
        <v>-0.90801637066688023</v>
      </c>
      <c r="J85" s="74">
        <f t="shared" si="9"/>
        <v>14.50801637066688</v>
      </c>
      <c r="K85" s="78"/>
      <c r="L85" s="78"/>
      <c r="M85" s="78"/>
      <c r="N85" s="78"/>
      <c r="O85" s="78"/>
    </row>
    <row r="86" spans="1:15" ht="15.6" x14ac:dyDescent="0.3">
      <c r="A86" s="2">
        <v>85</v>
      </c>
      <c r="B86" s="2">
        <v>213.5</v>
      </c>
      <c r="C86" s="2">
        <v>43</v>
      </c>
      <c r="D86" s="2">
        <v>33.799999999999997</v>
      </c>
      <c r="E86" s="2">
        <v>21.7</v>
      </c>
      <c r="F86" s="17">
        <f t="shared" si="5"/>
        <v>0.77407362586323569</v>
      </c>
      <c r="G86" s="16">
        <f t="shared" si="6"/>
        <v>1.3272853141053083</v>
      </c>
      <c r="H86" s="16">
        <f t="shared" si="7"/>
        <v>0.14904525057244936</v>
      </c>
      <c r="I86" s="74">
        <f t="shared" si="8"/>
        <v>0.82140689165764513</v>
      </c>
      <c r="J86" s="74">
        <f t="shared" si="9"/>
        <v>20.878593108342354</v>
      </c>
      <c r="K86" s="78"/>
      <c r="L86" s="78"/>
      <c r="M86" s="78"/>
      <c r="N86" s="78"/>
      <c r="O86" s="78"/>
    </row>
    <row r="87" spans="1:15" ht="15.6" x14ac:dyDescent="0.3">
      <c r="A87" s="2">
        <v>86</v>
      </c>
      <c r="B87" s="2">
        <v>193.2</v>
      </c>
      <c r="C87" s="2">
        <v>18.399999999999999</v>
      </c>
      <c r="D87" s="2">
        <v>65.7</v>
      </c>
      <c r="E87" s="2">
        <v>15.2</v>
      </c>
      <c r="F87" s="17">
        <f t="shared" si="5"/>
        <v>0.53762635347074894</v>
      </c>
      <c r="G87" s="16">
        <f t="shared" si="6"/>
        <v>-0.32351698767893872</v>
      </c>
      <c r="H87" s="16">
        <f t="shared" si="7"/>
        <v>1.6137844659948559</v>
      </c>
      <c r="I87" s="74">
        <f t="shared" si="8"/>
        <v>-0.16182795087098611</v>
      </c>
      <c r="J87" s="74">
        <f t="shared" si="9"/>
        <v>15.361827950870985</v>
      </c>
      <c r="K87" s="78"/>
      <c r="L87" s="78"/>
      <c r="M87" s="78"/>
      <c r="N87" s="78"/>
      <c r="O87" s="78"/>
    </row>
    <row r="88" spans="1:15" ht="15.6" x14ac:dyDescent="0.3">
      <c r="A88" s="2">
        <v>87</v>
      </c>
      <c r="B88" s="2">
        <v>76.3</v>
      </c>
      <c r="C88" s="2">
        <v>27.5</v>
      </c>
      <c r="D88" s="2">
        <v>16</v>
      </c>
      <c r="E88" s="2">
        <v>12</v>
      </c>
      <c r="F88" s="17">
        <f t="shared" si="5"/>
        <v>-0.8239838013411569</v>
      </c>
      <c r="G88" s="16">
        <f t="shared" si="6"/>
        <v>0.28714565241198203</v>
      </c>
      <c r="H88" s="16">
        <f t="shared" si="7"/>
        <v>-0.66827004831528825</v>
      </c>
      <c r="I88" s="74">
        <f t="shared" si="8"/>
        <v>0.35455574736730533</v>
      </c>
      <c r="J88" s="74">
        <f t="shared" si="9"/>
        <v>11.645444252632695</v>
      </c>
      <c r="K88" s="78"/>
      <c r="L88" s="78"/>
      <c r="M88" s="78"/>
      <c r="N88" s="78"/>
      <c r="O88" s="78"/>
    </row>
    <row r="89" spans="1:15" ht="15.6" x14ac:dyDescent="0.3">
      <c r="A89" s="2">
        <v>88</v>
      </c>
      <c r="B89" s="2">
        <v>110.7</v>
      </c>
      <c r="C89" s="2">
        <v>40.6</v>
      </c>
      <c r="D89" s="2">
        <v>63.2</v>
      </c>
      <c r="E89" s="2">
        <v>16</v>
      </c>
      <c r="F89" s="17">
        <f t="shared" si="5"/>
        <v>-0.42330467965142576</v>
      </c>
      <c r="G89" s="16">
        <f t="shared" si="6"/>
        <v>1.1662314310044064</v>
      </c>
      <c r="H89" s="16">
        <f t="shared" si="7"/>
        <v>1.4989929914319715</v>
      </c>
      <c r="I89" s="74">
        <f t="shared" si="8"/>
        <v>0.24854142713954275</v>
      </c>
      <c r="J89" s="74">
        <f t="shared" si="9"/>
        <v>15.751458572860457</v>
      </c>
      <c r="K89" s="78"/>
      <c r="L89" s="78"/>
      <c r="M89" s="78"/>
      <c r="N89" s="78"/>
      <c r="O89" s="78"/>
    </row>
    <row r="90" spans="1:15" ht="15.6" x14ac:dyDescent="0.3">
      <c r="A90" s="2">
        <v>89</v>
      </c>
      <c r="B90" s="2">
        <v>88.3</v>
      </c>
      <c r="C90" s="2">
        <v>25.5</v>
      </c>
      <c r="D90" s="2">
        <v>73.400000000000006</v>
      </c>
      <c r="E90" s="2">
        <v>12.9</v>
      </c>
      <c r="F90" s="17">
        <f t="shared" si="5"/>
        <v>-0.68421201470520421</v>
      </c>
      <c r="G90" s="16">
        <f t="shared" si="6"/>
        <v>0.15293408316123022</v>
      </c>
      <c r="H90" s="16">
        <f t="shared" si="7"/>
        <v>1.9673422076485405</v>
      </c>
      <c r="I90" s="74">
        <f t="shared" si="8"/>
        <v>1.0033391956662996</v>
      </c>
      <c r="J90" s="74">
        <f t="shared" si="9"/>
        <v>11.896660804333701</v>
      </c>
      <c r="K90" s="78"/>
      <c r="L90" s="78"/>
      <c r="M90" s="78"/>
      <c r="N90" s="78"/>
      <c r="O90" s="78"/>
    </row>
    <row r="91" spans="1:15" ht="15.6" x14ac:dyDescent="0.3">
      <c r="A91" s="2">
        <v>90</v>
      </c>
      <c r="B91" s="2">
        <v>109.8</v>
      </c>
      <c r="C91" s="2">
        <v>47.8</v>
      </c>
      <c r="D91" s="2">
        <v>51.4</v>
      </c>
      <c r="E91" s="2">
        <v>16.7</v>
      </c>
      <c r="F91" s="17">
        <f t="shared" si="5"/>
        <v>-0.4337875636491223</v>
      </c>
      <c r="G91" s="16">
        <f t="shared" si="6"/>
        <v>1.6493930803071124</v>
      </c>
      <c r="H91" s="16">
        <f t="shared" si="7"/>
        <v>0.95717723149515643</v>
      </c>
      <c r="I91" s="74">
        <f t="shared" si="8"/>
        <v>-0.34901799565456315</v>
      </c>
      <c r="J91" s="74">
        <f t="shared" si="9"/>
        <v>17.049017995654562</v>
      </c>
      <c r="K91" s="78"/>
      <c r="L91" s="78"/>
      <c r="M91" s="78"/>
      <c r="N91" s="78"/>
      <c r="O91" s="78"/>
    </row>
    <row r="92" spans="1:15" ht="15.6" x14ac:dyDescent="0.3">
      <c r="A92" s="2">
        <v>91</v>
      </c>
      <c r="B92" s="2">
        <v>134.30000000000001</v>
      </c>
      <c r="C92" s="2">
        <v>4.9000000000000004</v>
      </c>
      <c r="D92" s="2">
        <v>9.3000000000000007</v>
      </c>
      <c r="E92" s="2">
        <v>11.2</v>
      </c>
      <c r="F92" s="17">
        <f t="shared" si="5"/>
        <v>-0.14842016593405202</v>
      </c>
      <c r="G92" s="16">
        <f t="shared" si="6"/>
        <v>-1.2294450801215131</v>
      </c>
      <c r="H92" s="16">
        <f t="shared" si="7"/>
        <v>-0.97591120014381871</v>
      </c>
      <c r="I92" s="74">
        <f t="shared" si="8"/>
        <v>1.1555365190203783</v>
      </c>
      <c r="J92" s="74">
        <f t="shared" si="9"/>
        <v>10.044463480979621</v>
      </c>
      <c r="K92" s="78"/>
      <c r="L92" s="78"/>
      <c r="M92" s="78"/>
      <c r="N92" s="78"/>
      <c r="O92" s="78"/>
    </row>
    <row r="93" spans="1:15" ht="15.6" x14ac:dyDescent="0.3">
      <c r="A93" s="2">
        <v>92</v>
      </c>
      <c r="B93" s="2">
        <v>28.6</v>
      </c>
      <c r="C93" s="2">
        <v>1.5</v>
      </c>
      <c r="D93" s="2">
        <v>33</v>
      </c>
      <c r="E93" s="2">
        <v>7.3</v>
      </c>
      <c r="F93" s="17">
        <f t="shared" si="5"/>
        <v>-1.379576653219069</v>
      </c>
      <c r="G93" s="16">
        <f t="shared" si="6"/>
        <v>-1.4576047478477911</v>
      </c>
      <c r="H93" s="16">
        <f t="shared" si="7"/>
        <v>0.11231197871232644</v>
      </c>
      <c r="I93" s="74">
        <f t="shared" si="8"/>
        <v>2.7114942384916612</v>
      </c>
      <c r="J93" s="74">
        <f t="shared" si="9"/>
        <v>4.5885057615083387</v>
      </c>
      <c r="K93" s="78"/>
      <c r="L93" s="78"/>
      <c r="M93" s="78"/>
      <c r="N93" s="78"/>
      <c r="O93" s="78"/>
    </row>
    <row r="94" spans="1:15" ht="15.6" x14ac:dyDescent="0.3">
      <c r="A94" s="2">
        <v>93</v>
      </c>
      <c r="B94" s="2">
        <v>217.7</v>
      </c>
      <c r="C94" s="2">
        <v>33.5</v>
      </c>
      <c r="D94" s="2">
        <v>59</v>
      </c>
      <c r="E94" s="2">
        <v>19.399999999999999</v>
      </c>
      <c r="F94" s="17">
        <f t="shared" si="5"/>
        <v>0.82299375118581897</v>
      </c>
      <c r="G94" s="16">
        <f t="shared" si="6"/>
        <v>0.68978036016423738</v>
      </c>
      <c r="H94" s="16">
        <f t="shared" si="7"/>
        <v>1.3061433141663255</v>
      </c>
      <c r="I94" s="74">
        <f t="shared" si="8"/>
        <v>8.2352103885487082E-2</v>
      </c>
      <c r="J94" s="74">
        <f t="shared" si="9"/>
        <v>19.317647896114511</v>
      </c>
      <c r="K94" s="78"/>
      <c r="L94" s="78"/>
      <c r="M94" s="78"/>
      <c r="N94" s="78"/>
      <c r="O94" s="78"/>
    </row>
    <row r="95" spans="1:15" ht="15.6" x14ac:dyDescent="0.3">
      <c r="A95" s="2">
        <v>94</v>
      </c>
      <c r="B95" s="2">
        <v>250.9</v>
      </c>
      <c r="C95" s="2">
        <v>36.5</v>
      </c>
      <c r="D95" s="2">
        <v>72.3</v>
      </c>
      <c r="E95" s="2">
        <v>22.2</v>
      </c>
      <c r="F95" s="17">
        <f t="shared" si="5"/>
        <v>1.209695694211955</v>
      </c>
      <c r="G95" s="16">
        <f t="shared" si="6"/>
        <v>0.89109771404036509</v>
      </c>
      <c r="H95" s="16">
        <f t="shared" si="7"/>
        <v>1.9168339588408709</v>
      </c>
      <c r="I95" s="74">
        <f t="shared" si="8"/>
        <v>0.77726002033636732</v>
      </c>
      <c r="J95" s="74">
        <f t="shared" si="9"/>
        <v>21.422739979663632</v>
      </c>
      <c r="K95" s="78"/>
      <c r="L95" s="78"/>
      <c r="M95" s="78"/>
      <c r="N95" s="78"/>
      <c r="O95" s="78"/>
    </row>
    <row r="96" spans="1:15" ht="15.6" x14ac:dyDescent="0.3">
      <c r="A96" s="2">
        <v>95</v>
      </c>
      <c r="B96" s="2">
        <v>107.4</v>
      </c>
      <c r="C96" s="2">
        <v>14</v>
      </c>
      <c r="D96" s="2">
        <v>10.9</v>
      </c>
      <c r="E96" s="2">
        <v>11.5</v>
      </c>
      <c r="F96" s="17">
        <f t="shared" si="5"/>
        <v>-0.46174192097631273</v>
      </c>
      <c r="G96" s="16">
        <f t="shared" si="6"/>
        <v>-0.61878244003059257</v>
      </c>
      <c r="H96" s="16">
        <f t="shared" si="7"/>
        <v>-0.90244465642357274</v>
      </c>
      <c r="I96" s="74">
        <f t="shared" si="8"/>
        <v>0.97501208363663139</v>
      </c>
      <c r="J96" s="74">
        <f t="shared" si="9"/>
        <v>10.524987916363369</v>
      </c>
      <c r="K96" s="78"/>
      <c r="L96" s="78"/>
      <c r="M96" s="78"/>
      <c r="N96" s="78"/>
      <c r="O96" s="78"/>
    </row>
    <row r="97" spans="1:15" ht="15.6" x14ac:dyDescent="0.3">
      <c r="A97" s="2">
        <v>96</v>
      </c>
      <c r="B97" s="2">
        <v>163.30000000000001</v>
      </c>
      <c r="C97" s="2">
        <v>31.6</v>
      </c>
      <c r="D97" s="2">
        <v>52.9</v>
      </c>
      <c r="E97" s="2">
        <v>16.899999999999999</v>
      </c>
      <c r="F97" s="17">
        <f t="shared" si="5"/>
        <v>0.18936165176950034</v>
      </c>
      <c r="G97" s="16">
        <f t="shared" si="6"/>
        <v>0.5622793693760233</v>
      </c>
      <c r="H97" s="16">
        <f t="shared" si="7"/>
        <v>1.0260521162328871</v>
      </c>
      <c r="I97" s="74">
        <f t="shared" si="8"/>
        <v>0.44317205001543769</v>
      </c>
      <c r="J97" s="74">
        <f t="shared" si="9"/>
        <v>16.456827949984561</v>
      </c>
      <c r="K97" s="78"/>
      <c r="L97" s="78"/>
      <c r="M97" s="78"/>
      <c r="N97" s="78"/>
      <c r="O97" s="78"/>
    </row>
    <row r="98" spans="1:15" ht="15.6" x14ac:dyDescent="0.3">
      <c r="A98" s="2">
        <v>97</v>
      </c>
      <c r="B98" s="2">
        <v>197.6</v>
      </c>
      <c r="C98" s="2">
        <v>3.5</v>
      </c>
      <c r="D98" s="2">
        <v>5.9</v>
      </c>
      <c r="E98" s="2">
        <v>11.7</v>
      </c>
      <c r="F98" s="17">
        <f t="shared" si="5"/>
        <v>0.5888760085705983</v>
      </c>
      <c r="G98" s="16">
        <f t="shared" si="6"/>
        <v>-1.3233931785970394</v>
      </c>
      <c r="H98" s="16">
        <f t="shared" si="7"/>
        <v>-1.1320276055493417</v>
      </c>
      <c r="I98" s="74">
        <f t="shared" si="8"/>
        <v>-0.97982935814332883</v>
      </c>
      <c r="J98" s="74">
        <f t="shared" si="9"/>
        <v>12.679829358143328</v>
      </c>
      <c r="K98" s="78"/>
      <c r="L98" s="78"/>
      <c r="M98" s="78"/>
      <c r="N98" s="78"/>
      <c r="O98" s="78"/>
    </row>
    <row r="99" spans="1:15" ht="15.6" x14ac:dyDescent="0.3">
      <c r="A99" s="2">
        <v>98</v>
      </c>
      <c r="B99" s="2">
        <v>184.9</v>
      </c>
      <c r="C99" s="2">
        <v>21</v>
      </c>
      <c r="D99" s="2">
        <v>22</v>
      </c>
      <c r="E99" s="2">
        <v>15.5</v>
      </c>
      <c r="F99" s="17">
        <f t="shared" si="5"/>
        <v>0.44095086771421516</v>
      </c>
      <c r="G99" s="16">
        <f t="shared" si="6"/>
        <v>-0.1490419476529613</v>
      </c>
      <c r="H99" s="16">
        <f t="shared" si="7"/>
        <v>-0.39277050936436542</v>
      </c>
      <c r="I99" s="74">
        <f t="shared" si="8"/>
        <v>8.8384182008484302E-2</v>
      </c>
      <c r="J99" s="74">
        <f t="shared" si="9"/>
        <v>15.411615817991516</v>
      </c>
      <c r="K99" s="78"/>
      <c r="L99" s="78"/>
      <c r="M99" s="78"/>
      <c r="N99" s="78"/>
      <c r="O99" s="78"/>
    </row>
    <row r="100" spans="1:15" ht="15.6" x14ac:dyDescent="0.3">
      <c r="A100" s="2">
        <v>99</v>
      </c>
      <c r="B100" s="2">
        <v>289.7</v>
      </c>
      <c r="C100" s="2">
        <v>42.3</v>
      </c>
      <c r="D100" s="2">
        <v>51.2</v>
      </c>
      <c r="E100" s="2">
        <v>25.4</v>
      </c>
      <c r="F100" s="17">
        <f t="shared" si="5"/>
        <v>1.6616244710015351</v>
      </c>
      <c r="G100" s="16">
        <f t="shared" si="6"/>
        <v>1.280311264867545</v>
      </c>
      <c r="H100" s="16">
        <f t="shared" si="7"/>
        <v>0.94799391353012585</v>
      </c>
      <c r="I100" s="74">
        <f t="shared" si="8"/>
        <v>1.1347103993998751</v>
      </c>
      <c r="J100" s="74">
        <f t="shared" si="9"/>
        <v>24.265289600600124</v>
      </c>
      <c r="K100" s="78"/>
      <c r="L100" s="78"/>
      <c r="M100" s="78"/>
      <c r="N100" s="78"/>
      <c r="O100" s="78"/>
    </row>
    <row r="101" spans="1:15" ht="15.6" x14ac:dyDescent="0.3">
      <c r="A101" s="2">
        <v>100</v>
      </c>
      <c r="B101" s="2">
        <v>135.19999999999999</v>
      </c>
      <c r="C101" s="2">
        <v>41.7</v>
      </c>
      <c r="D101" s="2">
        <v>45.9</v>
      </c>
      <c r="E101" s="2">
        <v>17.2</v>
      </c>
      <c r="F101" s="17">
        <f t="shared" si="5"/>
        <v>-0.13793728193635585</v>
      </c>
      <c r="G101" s="16">
        <f t="shared" si="6"/>
        <v>1.2400477940923198</v>
      </c>
      <c r="H101" s="16">
        <f t="shared" si="7"/>
        <v>0.70463598745681044</v>
      </c>
      <c r="I101" s="74">
        <f t="shared" si="8"/>
        <v>0.14109044825436001</v>
      </c>
      <c r="J101" s="74">
        <f t="shared" si="9"/>
        <v>17.058909551745639</v>
      </c>
      <c r="K101" s="78"/>
      <c r="L101" s="78"/>
      <c r="M101" s="78"/>
      <c r="N101" s="78"/>
      <c r="O101" s="78"/>
    </row>
    <row r="102" spans="1:15" ht="15.6" x14ac:dyDescent="0.3">
      <c r="A102" s="2">
        <v>101</v>
      </c>
      <c r="B102" s="2">
        <v>222.4</v>
      </c>
      <c r="C102" s="2">
        <v>4.3</v>
      </c>
      <c r="D102" s="2">
        <v>49.8</v>
      </c>
      <c r="E102" s="2">
        <v>11.7</v>
      </c>
      <c r="F102" s="17">
        <f t="shared" si="5"/>
        <v>0.87773770095156733</v>
      </c>
      <c r="G102" s="16">
        <f t="shared" si="6"/>
        <v>-1.2697085508967387</v>
      </c>
      <c r="H102" s="16">
        <f t="shared" si="7"/>
        <v>0.88371068777491024</v>
      </c>
      <c r="I102" s="74">
        <f t="shared" si="8"/>
        <v>-2.3268232725549147</v>
      </c>
      <c r="J102" s="74">
        <f t="shared" si="9"/>
        <v>14.026823272554914</v>
      </c>
      <c r="K102" s="78"/>
      <c r="L102" s="78"/>
      <c r="M102" s="78"/>
      <c r="N102" s="78"/>
      <c r="O102" s="78"/>
    </row>
    <row r="103" spans="1:15" ht="15.6" x14ac:dyDescent="0.3">
      <c r="A103" s="2">
        <v>102</v>
      </c>
      <c r="B103" s="2">
        <v>296.39999999999998</v>
      </c>
      <c r="C103" s="2">
        <v>36.299999999999997</v>
      </c>
      <c r="D103" s="2">
        <v>100.9</v>
      </c>
      <c r="E103" s="2">
        <v>23.8</v>
      </c>
      <c r="F103" s="17">
        <f t="shared" si="5"/>
        <v>1.739663718539942</v>
      </c>
      <c r="G103" s="16">
        <f t="shared" si="6"/>
        <v>0.87767655711528969</v>
      </c>
      <c r="H103" s="16">
        <f t="shared" si="7"/>
        <v>3.2300484278402699</v>
      </c>
      <c r="I103" s="74">
        <f t="shared" si="8"/>
        <v>0.28953947459958584</v>
      </c>
      <c r="J103" s="74">
        <f t="shared" si="9"/>
        <v>23.510460525400415</v>
      </c>
      <c r="K103" s="78"/>
      <c r="L103" s="78"/>
      <c r="M103" s="78"/>
      <c r="N103" s="78"/>
      <c r="O103" s="78"/>
    </row>
    <row r="104" spans="1:15" ht="15.6" x14ac:dyDescent="0.3">
      <c r="A104" s="2">
        <v>103</v>
      </c>
      <c r="B104" s="2">
        <v>280.2</v>
      </c>
      <c r="C104" s="2">
        <v>10.1</v>
      </c>
      <c r="D104" s="2">
        <v>21.4</v>
      </c>
      <c r="E104" s="2">
        <v>14.8</v>
      </c>
      <c r="F104" s="17">
        <f t="shared" si="5"/>
        <v>1.550971806581406</v>
      </c>
      <c r="G104" s="16">
        <f t="shared" si="6"/>
        <v>-0.88049500006955861</v>
      </c>
      <c r="H104" s="16">
        <f t="shared" si="7"/>
        <v>-0.42032046325945777</v>
      </c>
      <c r="I104" s="74">
        <f t="shared" si="8"/>
        <v>-2.9310272902952761</v>
      </c>
      <c r="J104" s="74">
        <f t="shared" si="9"/>
        <v>17.731027290295277</v>
      </c>
      <c r="K104" s="78"/>
      <c r="L104" s="78"/>
      <c r="M104" s="78"/>
      <c r="N104" s="78"/>
      <c r="O104" s="78"/>
    </row>
    <row r="105" spans="1:15" ht="15.6" x14ac:dyDescent="0.3">
      <c r="A105" s="2">
        <v>104</v>
      </c>
      <c r="B105" s="2">
        <v>187.9</v>
      </c>
      <c r="C105" s="2">
        <v>17.2</v>
      </c>
      <c r="D105" s="2">
        <v>17.899999999999999</v>
      </c>
      <c r="E105" s="2">
        <v>14.7</v>
      </c>
      <c r="F105" s="17">
        <f t="shared" si="5"/>
        <v>0.47589381437320333</v>
      </c>
      <c r="G105" s="16">
        <f t="shared" si="6"/>
        <v>-0.40404392922938975</v>
      </c>
      <c r="H105" s="16">
        <f t="shared" si="7"/>
        <v>-0.58102852764749613</v>
      </c>
      <c r="I105" s="74">
        <f t="shared" si="8"/>
        <v>-0.12872915171299582</v>
      </c>
      <c r="J105" s="74">
        <f t="shared" si="9"/>
        <v>14.828729151712995</v>
      </c>
      <c r="K105" s="78"/>
      <c r="L105" s="78"/>
      <c r="M105" s="78"/>
      <c r="N105" s="78"/>
      <c r="O105" s="78"/>
    </row>
    <row r="106" spans="1:15" ht="15.6" x14ac:dyDescent="0.3">
      <c r="A106" s="2">
        <v>105</v>
      </c>
      <c r="B106" s="2">
        <v>238.2</v>
      </c>
      <c r="C106" s="2">
        <v>34.299999999999997</v>
      </c>
      <c r="D106" s="2">
        <v>5.3</v>
      </c>
      <c r="E106" s="2">
        <v>20.7</v>
      </c>
      <c r="F106" s="17">
        <f t="shared" si="5"/>
        <v>1.0617705533555715</v>
      </c>
      <c r="G106" s="16">
        <f t="shared" si="6"/>
        <v>0.74346498786453785</v>
      </c>
      <c r="H106" s="16">
        <f t="shared" si="7"/>
        <v>-1.159577559444434</v>
      </c>
      <c r="I106" s="74">
        <f t="shared" si="8"/>
        <v>0.36371972110892159</v>
      </c>
      <c r="J106" s="74">
        <f t="shared" si="9"/>
        <v>20.336280278891078</v>
      </c>
      <c r="K106" s="78"/>
      <c r="L106" s="78"/>
      <c r="M106" s="78"/>
      <c r="N106" s="78"/>
      <c r="O106" s="78"/>
    </row>
    <row r="107" spans="1:15" ht="15.6" x14ac:dyDescent="0.3">
      <c r="A107" s="2">
        <v>106</v>
      </c>
      <c r="B107" s="2">
        <v>137.9</v>
      </c>
      <c r="C107" s="2">
        <v>46.4</v>
      </c>
      <c r="D107" s="2">
        <v>59</v>
      </c>
      <c r="E107" s="2">
        <v>19.2</v>
      </c>
      <c r="F107" s="17">
        <f t="shared" si="5"/>
        <v>-0.10648862994326627</v>
      </c>
      <c r="G107" s="16">
        <f t="shared" si="6"/>
        <v>1.5554449818315863</v>
      </c>
      <c r="H107" s="16">
        <f t="shared" si="7"/>
        <v>1.3061433141663255</v>
      </c>
      <c r="I107" s="74">
        <f t="shared" si="8"/>
        <v>1.1153358124773725</v>
      </c>
      <c r="J107" s="74">
        <f t="shared" si="9"/>
        <v>18.084664187522627</v>
      </c>
      <c r="K107" s="78"/>
      <c r="L107" s="78"/>
      <c r="M107" s="78"/>
      <c r="N107" s="78"/>
      <c r="O107" s="78"/>
    </row>
    <row r="108" spans="1:15" ht="15.6" x14ac:dyDescent="0.3">
      <c r="A108" s="2">
        <v>107</v>
      </c>
      <c r="B108" s="2">
        <v>25</v>
      </c>
      <c r="C108" s="2">
        <v>11</v>
      </c>
      <c r="D108" s="2">
        <v>29.7</v>
      </c>
      <c r="E108" s="2">
        <v>7.2</v>
      </c>
      <c r="F108" s="17">
        <f t="shared" si="5"/>
        <v>-1.4215081892098547</v>
      </c>
      <c r="G108" s="16">
        <f t="shared" si="6"/>
        <v>-0.82009979390672028</v>
      </c>
      <c r="H108" s="16">
        <f t="shared" si="7"/>
        <v>-3.9212767710681148E-2</v>
      </c>
      <c r="I108" s="74">
        <f t="shared" si="8"/>
        <v>0.99360422130053827</v>
      </c>
      <c r="J108" s="74">
        <f t="shared" si="9"/>
        <v>6.2063957786994619</v>
      </c>
      <c r="K108" s="78"/>
      <c r="L108" s="78"/>
      <c r="M108" s="78"/>
      <c r="N108" s="78"/>
      <c r="O108" s="78"/>
    </row>
    <row r="109" spans="1:15" ht="15.6" x14ac:dyDescent="0.3">
      <c r="A109" s="2">
        <v>108</v>
      </c>
      <c r="B109" s="2">
        <v>90.4</v>
      </c>
      <c r="C109" s="2">
        <v>0.3</v>
      </c>
      <c r="D109" s="2">
        <v>23.2</v>
      </c>
      <c r="E109" s="2">
        <v>8.6999999999999993</v>
      </c>
      <c r="F109" s="17">
        <f t="shared" si="5"/>
        <v>-0.65975195204391235</v>
      </c>
      <c r="G109" s="16">
        <f t="shared" si="6"/>
        <v>-1.5381316893982422</v>
      </c>
      <c r="H109" s="16">
        <f t="shared" si="7"/>
        <v>-0.33767060157418088</v>
      </c>
      <c r="I109" s="74">
        <f t="shared" si="8"/>
        <v>1.5158967326866382</v>
      </c>
      <c r="J109" s="74">
        <f t="shared" si="9"/>
        <v>7.1841032673133611</v>
      </c>
      <c r="K109" s="78"/>
      <c r="L109" s="78"/>
      <c r="M109" s="78"/>
      <c r="N109" s="78"/>
      <c r="O109" s="78"/>
    </row>
    <row r="110" spans="1:15" ht="15.6" x14ac:dyDescent="0.3">
      <c r="A110" s="2">
        <v>109</v>
      </c>
      <c r="B110" s="2">
        <v>13.1</v>
      </c>
      <c r="C110" s="2">
        <v>0.4</v>
      </c>
      <c r="D110" s="2">
        <v>25.6</v>
      </c>
      <c r="E110" s="2">
        <v>5.3</v>
      </c>
      <c r="F110" s="17">
        <f t="shared" si="5"/>
        <v>-1.5601152109571745</v>
      </c>
      <c r="G110" s="16">
        <f t="shared" si="6"/>
        <v>-1.5314211109357048</v>
      </c>
      <c r="H110" s="16">
        <f t="shared" si="7"/>
        <v>-0.22747078599381165</v>
      </c>
      <c r="I110" s="74">
        <f t="shared" si="8"/>
        <v>1.6393341146192908</v>
      </c>
      <c r="J110" s="74">
        <f t="shared" si="9"/>
        <v>3.660665885380709</v>
      </c>
      <c r="K110" s="78"/>
      <c r="L110" s="78"/>
      <c r="M110" s="78"/>
      <c r="N110" s="78"/>
      <c r="O110" s="78"/>
    </row>
    <row r="111" spans="1:15" ht="15.6" x14ac:dyDescent="0.3">
      <c r="A111" s="2">
        <v>110</v>
      </c>
      <c r="B111" s="2">
        <v>255.4</v>
      </c>
      <c r="C111" s="2">
        <v>26.9</v>
      </c>
      <c r="D111" s="2">
        <v>5.5</v>
      </c>
      <c r="E111" s="2">
        <v>19.8</v>
      </c>
      <c r="F111" s="17">
        <f t="shared" si="5"/>
        <v>1.2621101142004372</v>
      </c>
      <c r="G111" s="16">
        <f t="shared" si="6"/>
        <v>0.24688218163675638</v>
      </c>
      <c r="H111" s="16">
        <f t="shared" si="7"/>
        <v>-1.1503942414794033</v>
      </c>
      <c r="I111" s="74">
        <f t="shared" si="8"/>
        <v>6.6872064381428231E-2</v>
      </c>
      <c r="J111" s="74">
        <f t="shared" si="9"/>
        <v>19.733127935618572</v>
      </c>
      <c r="K111" s="78"/>
      <c r="L111" s="78"/>
      <c r="M111" s="78"/>
      <c r="N111" s="78"/>
      <c r="O111" s="78"/>
    </row>
    <row r="112" spans="1:15" ht="15.6" x14ac:dyDescent="0.3">
      <c r="A112" s="2">
        <v>111</v>
      </c>
      <c r="B112" s="2">
        <v>225.8</v>
      </c>
      <c r="C112" s="2">
        <v>8.1999999999999993</v>
      </c>
      <c r="D112" s="2">
        <v>56.5</v>
      </c>
      <c r="E112" s="2">
        <v>13.4</v>
      </c>
      <c r="F112" s="17">
        <f t="shared" si="5"/>
        <v>0.91733970716508728</v>
      </c>
      <c r="G112" s="16">
        <f t="shared" si="6"/>
        <v>-1.0079959908577727</v>
      </c>
      <c r="H112" s="16">
        <f t="shared" si="7"/>
        <v>1.1913518396034408</v>
      </c>
      <c r="I112" s="74">
        <f t="shared" si="8"/>
        <v>-1.5255638335019572</v>
      </c>
      <c r="J112" s="74">
        <f t="shared" si="9"/>
        <v>14.925563833501958</v>
      </c>
      <c r="K112" s="78"/>
      <c r="L112" s="78"/>
      <c r="M112" s="78"/>
      <c r="N112" s="78"/>
      <c r="O112" s="78"/>
    </row>
    <row r="113" spans="1:15" ht="15.6" x14ac:dyDescent="0.3">
      <c r="A113" s="2">
        <v>112</v>
      </c>
      <c r="B113" s="2">
        <v>241.7</v>
      </c>
      <c r="C113" s="2">
        <v>38</v>
      </c>
      <c r="D113" s="2">
        <v>23.2</v>
      </c>
      <c r="E113" s="2">
        <v>21.8</v>
      </c>
      <c r="F113" s="17">
        <f t="shared" si="5"/>
        <v>1.1025373244577243</v>
      </c>
      <c r="G113" s="16">
        <f t="shared" si="6"/>
        <v>0.99175639097842894</v>
      </c>
      <c r="H113" s="16">
        <f t="shared" si="7"/>
        <v>-0.33767060157418088</v>
      </c>
      <c r="I113" s="74">
        <f t="shared" si="8"/>
        <v>0.5829745306289098</v>
      </c>
      <c r="J113" s="74">
        <f t="shared" si="9"/>
        <v>21.217025469371091</v>
      </c>
      <c r="K113" s="78"/>
      <c r="L113" s="78"/>
      <c r="M113" s="78"/>
      <c r="N113" s="78"/>
      <c r="O113" s="78"/>
    </row>
    <row r="114" spans="1:15" ht="15.6" x14ac:dyDescent="0.3">
      <c r="A114" s="2">
        <v>113</v>
      </c>
      <c r="B114" s="2">
        <v>175.7</v>
      </c>
      <c r="C114" s="2">
        <v>15.4</v>
      </c>
      <c r="D114" s="2">
        <v>2.4</v>
      </c>
      <c r="E114" s="2">
        <v>14.1</v>
      </c>
      <c r="F114" s="17">
        <f t="shared" si="5"/>
        <v>0.33379249795998456</v>
      </c>
      <c r="G114" s="16">
        <f t="shared" si="6"/>
        <v>-0.52483434155506625</v>
      </c>
      <c r="H114" s="16">
        <f t="shared" si="7"/>
        <v>-1.29273566993738</v>
      </c>
      <c r="I114" s="74">
        <f t="shared" si="8"/>
        <v>0.19034094361108167</v>
      </c>
      <c r="J114" s="74">
        <f t="shared" si="9"/>
        <v>13.909659056388918</v>
      </c>
      <c r="K114" s="78"/>
      <c r="L114" s="78"/>
      <c r="M114" s="78"/>
      <c r="N114" s="78"/>
      <c r="O114" s="78"/>
    </row>
    <row r="115" spans="1:15" ht="15.6" x14ac:dyDescent="0.3">
      <c r="A115" s="2">
        <v>114</v>
      </c>
      <c r="B115" s="2">
        <v>209.6</v>
      </c>
      <c r="C115" s="2">
        <v>20.6</v>
      </c>
      <c r="D115" s="2">
        <v>10.7</v>
      </c>
      <c r="E115" s="2">
        <v>15.9</v>
      </c>
      <c r="F115" s="17">
        <f t="shared" si="5"/>
        <v>0.72864779520655099</v>
      </c>
      <c r="G115" s="16">
        <f t="shared" si="6"/>
        <v>-0.17588426150311157</v>
      </c>
      <c r="H115" s="16">
        <f t="shared" si="7"/>
        <v>-0.91162797438860343</v>
      </c>
      <c r="I115" s="74">
        <f t="shared" si="8"/>
        <v>-0.55407384574607299</v>
      </c>
      <c r="J115" s="74">
        <f t="shared" si="9"/>
        <v>16.454073845746073</v>
      </c>
      <c r="K115" s="78"/>
      <c r="L115" s="78"/>
      <c r="M115" s="78"/>
      <c r="N115" s="78"/>
      <c r="O115" s="78"/>
    </row>
    <row r="116" spans="1:15" ht="15.6" x14ac:dyDescent="0.3">
      <c r="A116" s="2">
        <v>115</v>
      </c>
      <c r="B116" s="2">
        <v>78.2</v>
      </c>
      <c r="C116" s="2">
        <v>46.8</v>
      </c>
      <c r="D116" s="2">
        <v>34.5</v>
      </c>
      <c r="E116" s="2">
        <v>14.6</v>
      </c>
      <c r="F116" s="17">
        <f t="shared" si="5"/>
        <v>-0.80185326845713101</v>
      </c>
      <c r="G116" s="16">
        <f t="shared" si="6"/>
        <v>1.5822872956817366</v>
      </c>
      <c r="H116" s="16">
        <f t="shared" si="7"/>
        <v>0.18118686345005713</v>
      </c>
      <c r="I116" s="74">
        <f t="shared" si="8"/>
        <v>-0.78877909376977406</v>
      </c>
      <c r="J116" s="74">
        <f t="shared" si="9"/>
        <v>15.388779093769774</v>
      </c>
      <c r="K116" s="78"/>
      <c r="L116" s="78"/>
      <c r="M116" s="78"/>
      <c r="N116" s="78"/>
      <c r="O116" s="78"/>
    </row>
    <row r="117" spans="1:15" ht="15.6" x14ac:dyDescent="0.3">
      <c r="A117" s="2">
        <v>116</v>
      </c>
      <c r="B117" s="2">
        <v>75.099999999999994</v>
      </c>
      <c r="C117" s="2">
        <v>35</v>
      </c>
      <c r="D117" s="2">
        <v>52.7</v>
      </c>
      <c r="E117" s="2">
        <v>12.6</v>
      </c>
      <c r="F117" s="17">
        <f t="shared" si="5"/>
        <v>-0.83796098000475217</v>
      </c>
      <c r="G117" s="16">
        <f t="shared" si="6"/>
        <v>0.79043903710230123</v>
      </c>
      <c r="H117" s="16">
        <f t="shared" si="7"/>
        <v>1.0168687982678566</v>
      </c>
      <c r="I117" s="74">
        <f t="shared" si="8"/>
        <v>-0.45085411077971926</v>
      </c>
      <c r="J117" s="74">
        <f t="shared" si="9"/>
        <v>13.050854110779719</v>
      </c>
      <c r="K117" s="78"/>
      <c r="L117" s="78"/>
      <c r="M117" s="78"/>
      <c r="N117" s="78"/>
      <c r="O117" s="78"/>
    </row>
    <row r="118" spans="1:15" ht="15.6" x14ac:dyDescent="0.3">
      <c r="A118" s="2">
        <v>117</v>
      </c>
      <c r="B118" s="2">
        <v>139.19999999999999</v>
      </c>
      <c r="C118" s="2">
        <v>14.3</v>
      </c>
      <c r="D118" s="2">
        <v>25.6</v>
      </c>
      <c r="E118" s="2">
        <v>12.2</v>
      </c>
      <c r="F118" s="17">
        <f t="shared" si="5"/>
        <v>-9.1346686391038268E-2</v>
      </c>
      <c r="G118" s="16">
        <f t="shared" si="6"/>
        <v>-0.59865070464297976</v>
      </c>
      <c r="H118" s="16">
        <f t="shared" si="7"/>
        <v>-0.22747078599381165</v>
      </c>
      <c r="I118" s="74">
        <f t="shared" si="8"/>
        <v>0.14026215728303981</v>
      </c>
      <c r="J118" s="74">
        <f t="shared" si="9"/>
        <v>12.059737842716959</v>
      </c>
      <c r="K118" s="78"/>
      <c r="L118" s="78"/>
      <c r="M118" s="78"/>
      <c r="N118" s="78"/>
      <c r="O118" s="78"/>
    </row>
    <row r="119" spans="1:15" ht="15.6" x14ac:dyDescent="0.3">
      <c r="A119" s="2">
        <v>118</v>
      </c>
      <c r="B119" s="2">
        <v>76.400000000000006</v>
      </c>
      <c r="C119" s="2">
        <v>0.8</v>
      </c>
      <c r="D119" s="2">
        <v>14.8</v>
      </c>
      <c r="E119" s="2">
        <v>9.4</v>
      </c>
      <c r="F119" s="17">
        <f t="shared" si="5"/>
        <v>-0.82281903645252386</v>
      </c>
      <c r="G119" s="16">
        <f t="shared" si="6"/>
        <v>-1.5045787970855542</v>
      </c>
      <c r="H119" s="16">
        <f t="shared" si="7"/>
        <v>-0.72336995610547283</v>
      </c>
      <c r="I119" s="74">
        <f t="shared" si="8"/>
        <v>2.7752374669401227</v>
      </c>
      <c r="J119" s="74">
        <f t="shared" si="9"/>
        <v>6.6247625330598776</v>
      </c>
      <c r="K119" s="78"/>
      <c r="L119" s="78"/>
      <c r="M119" s="78"/>
      <c r="N119" s="78"/>
      <c r="O119" s="78"/>
    </row>
    <row r="120" spans="1:15" ht="15.6" x14ac:dyDescent="0.3">
      <c r="A120" s="2">
        <v>119</v>
      </c>
      <c r="B120" s="2">
        <v>125.7</v>
      </c>
      <c r="C120" s="2">
        <v>36.9</v>
      </c>
      <c r="D120" s="2">
        <v>79.2</v>
      </c>
      <c r="E120" s="2">
        <v>15.9</v>
      </c>
      <c r="F120" s="17">
        <f t="shared" si="5"/>
        <v>-0.2485899463564849</v>
      </c>
      <c r="G120" s="16">
        <f t="shared" si="6"/>
        <v>0.91794002789051532</v>
      </c>
      <c r="H120" s="16">
        <f t="shared" si="7"/>
        <v>2.2336584286344325</v>
      </c>
      <c r="I120" s="74">
        <f t="shared" si="8"/>
        <v>0.13520896060557774</v>
      </c>
      <c r="J120" s="74">
        <f t="shared" si="9"/>
        <v>15.764791039394423</v>
      </c>
      <c r="K120" s="78"/>
      <c r="L120" s="78"/>
      <c r="M120" s="78"/>
      <c r="N120" s="78"/>
      <c r="O120" s="78"/>
    </row>
    <row r="121" spans="1:15" ht="15.6" x14ac:dyDescent="0.3">
      <c r="A121" s="2">
        <v>120</v>
      </c>
      <c r="B121" s="2">
        <v>19.399999999999999</v>
      </c>
      <c r="C121" s="2">
        <v>16</v>
      </c>
      <c r="D121" s="2">
        <v>22.3</v>
      </c>
      <c r="E121" s="2">
        <v>6.6</v>
      </c>
      <c r="F121" s="17">
        <f t="shared" si="5"/>
        <v>-1.4867350229732992</v>
      </c>
      <c r="G121" s="16">
        <f t="shared" si="6"/>
        <v>-0.48457087077984079</v>
      </c>
      <c r="H121" s="16">
        <f t="shared" si="7"/>
        <v>-0.37899553241681921</v>
      </c>
      <c r="I121" s="74">
        <f t="shared" si="8"/>
        <v>-0.2803605002073235</v>
      </c>
      <c r="J121" s="74">
        <f t="shared" si="9"/>
        <v>6.8803605002073231</v>
      </c>
      <c r="K121" s="78"/>
      <c r="L121" s="78"/>
      <c r="M121" s="78"/>
      <c r="N121" s="78"/>
      <c r="O121" s="78"/>
    </row>
    <row r="122" spans="1:15" ht="15.6" x14ac:dyDescent="0.3">
      <c r="A122" s="2">
        <v>121</v>
      </c>
      <c r="B122" s="2">
        <v>141.30000000000001</v>
      </c>
      <c r="C122" s="2">
        <v>26.8</v>
      </c>
      <c r="D122" s="2">
        <v>46.2</v>
      </c>
      <c r="E122" s="2">
        <v>15.5</v>
      </c>
      <c r="F122" s="17">
        <f t="shared" si="5"/>
        <v>-6.6886623729746283E-2</v>
      </c>
      <c r="G122" s="16">
        <f t="shared" si="6"/>
        <v>0.24017160317421893</v>
      </c>
      <c r="H122" s="16">
        <f t="shared" si="7"/>
        <v>0.71841096440435681</v>
      </c>
      <c r="I122" s="74">
        <f t="shared" si="8"/>
        <v>0.96436545493410364</v>
      </c>
      <c r="J122" s="74">
        <f t="shared" si="9"/>
        <v>14.535634545065896</v>
      </c>
      <c r="K122" s="78"/>
      <c r="L122" s="78"/>
      <c r="M122" s="78"/>
      <c r="N122" s="78"/>
      <c r="O122" s="78"/>
    </row>
    <row r="123" spans="1:15" ht="15.6" x14ac:dyDescent="0.3">
      <c r="A123" s="2">
        <v>122</v>
      </c>
      <c r="B123" s="2">
        <v>18.8</v>
      </c>
      <c r="C123" s="2">
        <v>21.7</v>
      </c>
      <c r="D123" s="2">
        <v>50.4</v>
      </c>
      <c r="E123" s="2">
        <v>7</v>
      </c>
      <c r="F123" s="17">
        <f t="shared" si="5"/>
        <v>-1.4937236123050968</v>
      </c>
      <c r="G123" s="16">
        <f t="shared" si="6"/>
        <v>-0.10206789841519821</v>
      </c>
      <c r="H123" s="16">
        <f t="shared" si="7"/>
        <v>0.91126064167000254</v>
      </c>
      <c r="I123" s="74">
        <f t="shared" si="8"/>
        <v>-0.9630617970289137</v>
      </c>
      <c r="J123" s="74">
        <f t="shared" si="9"/>
        <v>7.9630617970289137</v>
      </c>
      <c r="K123" s="78"/>
      <c r="L123" s="78"/>
      <c r="M123" s="78"/>
      <c r="N123" s="78"/>
      <c r="O123" s="78"/>
    </row>
    <row r="124" spans="1:15" ht="15.6" x14ac:dyDescent="0.3">
      <c r="A124" s="2">
        <v>123</v>
      </c>
      <c r="B124" s="2">
        <v>224</v>
      </c>
      <c r="C124" s="2">
        <v>2.4</v>
      </c>
      <c r="D124" s="2">
        <v>15.6</v>
      </c>
      <c r="E124" s="2">
        <v>11.6</v>
      </c>
      <c r="F124" s="17">
        <f t="shared" si="5"/>
        <v>0.89637393916969432</v>
      </c>
      <c r="G124" s="16">
        <f t="shared" si="6"/>
        <v>-1.397209541684953</v>
      </c>
      <c r="H124" s="16">
        <f t="shared" si="7"/>
        <v>-0.68663668424534974</v>
      </c>
      <c r="I124" s="74">
        <f t="shared" si="8"/>
        <v>-2.096769713100846</v>
      </c>
      <c r="J124" s="74">
        <f t="shared" si="9"/>
        <v>13.696769713100846</v>
      </c>
      <c r="K124" s="78"/>
      <c r="L124" s="78"/>
      <c r="M124" s="78"/>
      <c r="N124" s="78"/>
      <c r="O124" s="78"/>
    </row>
    <row r="125" spans="1:15" ht="15.6" x14ac:dyDescent="0.3">
      <c r="A125" s="2">
        <v>124</v>
      </c>
      <c r="B125" s="2">
        <v>123.1</v>
      </c>
      <c r="C125" s="2">
        <v>34.6</v>
      </c>
      <c r="D125" s="2">
        <v>12.4</v>
      </c>
      <c r="E125" s="2">
        <v>15.2</v>
      </c>
      <c r="F125" s="17">
        <f t="shared" si="5"/>
        <v>-0.27887383346094141</v>
      </c>
      <c r="G125" s="16">
        <f t="shared" si="6"/>
        <v>0.763596723252151</v>
      </c>
      <c r="H125" s="16">
        <f t="shared" si="7"/>
        <v>-0.83356977168584201</v>
      </c>
      <c r="I125" s="74">
        <f t="shared" si="8"/>
        <v>7.696390336323411E-2</v>
      </c>
      <c r="J125" s="74">
        <f t="shared" si="9"/>
        <v>15.123036096636765</v>
      </c>
      <c r="K125" s="78"/>
      <c r="L125" s="78"/>
      <c r="M125" s="78"/>
      <c r="N125" s="78"/>
      <c r="O125" s="78"/>
    </row>
    <row r="126" spans="1:15" ht="15.6" x14ac:dyDescent="0.3">
      <c r="A126" s="2">
        <v>125</v>
      </c>
      <c r="B126" s="2">
        <v>229.5</v>
      </c>
      <c r="C126" s="2">
        <v>32.299999999999997</v>
      </c>
      <c r="D126" s="2">
        <v>74.2</v>
      </c>
      <c r="E126" s="2">
        <v>19.7</v>
      </c>
      <c r="F126" s="17">
        <f t="shared" si="5"/>
        <v>0.96043600804450591</v>
      </c>
      <c r="G126" s="16">
        <f t="shared" si="6"/>
        <v>0.60925341861378612</v>
      </c>
      <c r="H126" s="16">
        <f t="shared" si="7"/>
        <v>2.0040754795086633</v>
      </c>
      <c r="I126" s="74">
        <f t="shared" si="8"/>
        <v>4.6487407979480366E-2</v>
      </c>
      <c r="J126" s="74">
        <f t="shared" si="9"/>
        <v>19.653512592020519</v>
      </c>
      <c r="K126" s="78"/>
      <c r="L126" s="78"/>
      <c r="M126" s="78"/>
      <c r="N126" s="78"/>
      <c r="O126" s="78"/>
    </row>
    <row r="127" spans="1:15" ht="15.6" x14ac:dyDescent="0.3">
      <c r="A127" s="2">
        <v>126</v>
      </c>
      <c r="B127" s="2">
        <v>87.2</v>
      </c>
      <c r="C127" s="2">
        <v>11.8</v>
      </c>
      <c r="D127" s="2">
        <v>25.9</v>
      </c>
      <c r="E127" s="2">
        <v>10.6</v>
      </c>
      <c r="F127" s="17">
        <f t="shared" si="5"/>
        <v>-0.69702442848016644</v>
      </c>
      <c r="G127" s="16">
        <f t="shared" si="6"/>
        <v>-0.76641516620641947</v>
      </c>
      <c r="H127" s="16">
        <f t="shared" si="7"/>
        <v>-0.21369580904626564</v>
      </c>
      <c r="I127" s="74">
        <f t="shared" si="8"/>
        <v>1.3952946842777472</v>
      </c>
      <c r="J127" s="74">
        <f t="shared" si="9"/>
        <v>9.2047053157222525</v>
      </c>
      <c r="K127" s="78"/>
      <c r="L127" s="78"/>
      <c r="M127" s="78"/>
      <c r="N127" s="78"/>
      <c r="O127" s="78"/>
    </row>
    <row r="128" spans="1:15" ht="15.6" x14ac:dyDescent="0.3">
      <c r="A128" s="2">
        <v>127</v>
      </c>
      <c r="B128" s="2">
        <v>7.8</v>
      </c>
      <c r="C128" s="2">
        <v>38.9</v>
      </c>
      <c r="D128" s="2">
        <v>50.6</v>
      </c>
      <c r="E128" s="2">
        <v>6.6</v>
      </c>
      <c r="F128" s="17">
        <f t="shared" si="5"/>
        <v>-1.6218477500547201</v>
      </c>
      <c r="G128" s="16">
        <f t="shared" si="6"/>
        <v>1.0521515971412672</v>
      </c>
      <c r="H128" s="16">
        <f t="shared" si="7"/>
        <v>0.92044395963503345</v>
      </c>
      <c r="I128" s="74">
        <f t="shared" si="8"/>
        <v>-4.0950123570680965</v>
      </c>
      <c r="J128" s="74">
        <f t="shared" si="9"/>
        <v>10.695012357068096</v>
      </c>
      <c r="K128" s="78"/>
      <c r="L128" s="78"/>
      <c r="M128" s="78"/>
      <c r="N128" s="78"/>
      <c r="O128" s="78"/>
    </row>
    <row r="129" spans="1:15" ht="15.6" x14ac:dyDescent="0.3">
      <c r="A129" s="2">
        <v>128</v>
      </c>
      <c r="B129" s="2">
        <v>80.2</v>
      </c>
      <c r="C129" s="2">
        <v>0</v>
      </c>
      <c r="D129" s="2">
        <v>9.1999999999999993</v>
      </c>
      <c r="E129" s="2">
        <v>8.8000000000000007</v>
      </c>
      <c r="F129" s="17">
        <f t="shared" si="5"/>
        <v>-0.77855797068447219</v>
      </c>
      <c r="G129" s="16">
        <f t="shared" si="6"/>
        <v>-1.5582634247858551</v>
      </c>
      <c r="H129" s="16">
        <f t="shared" si="7"/>
        <v>-0.98050285912633417</v>
      </c>
      <c r="I129" s="74">
        <f t="shared" si="8"/>
        <v>2.1589906378975661</v>
      </c>
      <c r="J129" s="74">
        <f t="shared" si="9"/>
        <v>6.6410093621024346</v>
      </c>
      <c r="K129" s="78"/>
      <c r="L129" s="78"/>
      <c r="M129" s="78"/>
      <c r="N129" s="78"/>
      <c r="O129" s="78"/>
    </row>
    <row r="130" spans="1:15" ht="15.6" x14ac:dyDescent="0.3">
      <c r="A130" s="2">
        <v>129</v>
      </c>
      <c r="B130" s="2">
        <v>220.3</v>
      </c>
      <c r="C130" s="2">
        <v>49</v>
      </c>
      <c r="D130" s="2">
        <v>3.2</v>
      </c>
      <c r="E130" s="2">
        <v>24.7</v>
      </c>
      <c r="F130" s="17">
        <f t="shared" si="5"/>
        <v>0.8532776382902757</v>
      </c>
      <c r="G130" s="16">
        <f t="shared" si="6"/>
        <v>1.7299200218575637</v>
      </c>
      <c r="H130" s="16">
        <f t="shared" si="7"/>
        <v>-1.256002398077257</v>
      </c>
      <c r="I130" s="74">
        <f t="shared" si="8"/>
        <v>2.4217177915387964</v>
      </c>
      <c r="J130" s="74">
        <f t="shared" si="9"/>
        <v>22.278282208461203</v>
      </c>
      <c r="K130" s="78"/>
      <c r="L130" s="78"/>
      <c r="M130" s="78"/>
      <c r="N130" s="78"/>
      <c r="O130" s="78"/>
    </row>
    <row r="131" spans="1:15" ht="15.6" x14ac:dyDescent="0.3">
      <c r="A131" s="2">
        <v>130</v>
      </c>
      <c r="B131" s="2">
        <v>59.6</v>
      </c>
      <c r="C131" s="2">
        <v>12</v>
      </c>
      <c r="D131" s="2">
        <v>43.1</v>
      </c>
      <c r="E131" s="2">
        <v>9.6999999999999993</v>
      </c>
      <c r="F131" s="17">
        <f t="shared" ref="F131:F194" si="10">(B131-AVERAGE($B$2:$B$201))/_xlfn.STDEV.S($B$2:$B$201)</f>
        <v>-1.0184995377428578</v>
      </c>
      <c r="G131" s="16">
        <f t="shared" ref="G131:G194" si="11">(C131-AVERAGE($C$2:$C$201))/_xlfn.STDEV.S($C$2:$C$201)</f>
        <v>-0.7529940092813443</v>
      </c>
      <c r="H131" s="16">
        <f t="shared" ref="H131:H194" si="12">(D131-AVERAGE($D$2:$D$201))/_xlfn.STDEV.S($D$2:$D$201)</f>
        <v>0.57606953594637988</v>
      </c>
      <c r="I131" s="74">
        <f t="shared" ref="I131:I194" si="13">$E131-$J131</f>
        <v>1.7004685590420321</v>
      </c>
      <c r="J131" s="74">
        <f t="shared" ref="J131:J194" si="14">$N$2 + $M$2*B131 + $L$2*C131 - $K$2*D131</f>
        <v>7.9995314409579672</v>
      </c>
      <c r="K131" s="78"/>
      <c r="L131" s="78"/>
      <c r="M131" s="78"/>
      <c r="N131" s="78"/>
      <c r="O131" s="78"/>
    </row>
    <row r="132" spans="1:15" ht="15.6" x14ac:dyDescent="0.3">
      <c r="A132" s="2">
        <v>131</v>
      </c>
      <c r="B132" s="2">
        <v>0.7</v>
      </c>
      <c r="C132" s="2">
        <v>39.6</v>
      </c>
      <c r="D132" s="2">
        <v>8.6999999999999993</v>
      </c>
      <c r="E132" s="2">
        <v>1.6</v>
      </c>
      <c r="F132" s="17">
        <f t="shared" si="10"/>
        <v>-1.7045460571476589</v>
      </c>
      <c r="G132" s="16">
        <f t="shared" si="11"/>
        <v>1.0991256463790304</v>
      </c>
      <c r="H132" s="16">
        <f t="shared" si="12"/>
        <v>-1.0034611540389111</v>
      </c>
      <c r="I132" s="74">
        <f t="shared" si="13"/>
        <v>-8.8447698293973875</v>
      </c>
      <c r="J132" s="74">
        <f t="shared" si="14"/>
        <v>10.444769829397387</v>
      </c>
      <c r="K132" s="78"/>
      <c r="L132" s="78"/>
      <c r="M132" s="78"/>
      <c r="N132" s="78"/>
      <c r="O132" s="78"/>
    </row>
    <row r="133" spans="1:15" ht="15.6" x14ac:dyDescent="0.3">
      <c r="A133" s="2">
        <v>132</v>
      </c>
      <c r="B133" s="2">
        <v>265.2</v>
      </c>
      <c r="C133" s="2">
        <v>2.9</v>
      </c>
      <c r="D133" s="2">
        <v>43</v>
      </c>
      <c r="E133" s="2">
        <v>12.7</v>
      </c>
      <c r="F133" s="17">
        <f t="shared" si="10"/>
        <v>1.3762570732864652</v>
      </c>
      <c r="G133" s="16">
        <f t="shared" si="11"/>
        <v>-1.3636566493722651</v>
      </c>
      <c r="H133" s="16">
        <f t="shared" si="12"/>
        <v>0.57147787696386454</v>
      </c>
      <c r="I133" s="74">
        <f t="shared" si="13"/>
        <v>-3.0173585015569948</v>
      </c>
      <c r="J133" s="74">
        <f t="shared" si="14"/>
        <v>15.717358501556994</v>
      </c>
      <c r="K133" s="78"/>
      <c r="L133" s="78"/>
      <c r="M133" s="78"/>
      <c r="N133" s="78"/>
      <c r="O133" s="78"/>
    </row>
    <row r="134" spans="1:15" ht="15.6" x14ac:dyDescent="0.3">
      <c r="A134" s="2">
        <v>133</v>
      </c>
      <c r="B134" s="2">
        <v>8.4</v>
      </c>
      <c r="C134" s="2">
        <v>27.2</v>
      </c>
      <c r="D134" s="2">
        <v>2.1</v>
      </c>
      <c r="E134" s="2">
        <v>5.7</v>
      </c>
      <c r="F134" s="17">
        <f t="shared" si="10"/>
        <v>-1.6148591607229226</v>
      </c>
      <c r="G134" s="16">
        <f t="shared" si="11"/>
        <v>0.26701391702436922</v>
      </c>
      <c r="H134" s="16">
        <f t="shared" si="12"/>
        <v>-1.3065106468849261</v>
      </c>
      <c r="I134" s="74">
        <f t="shared" si="13"/>
        <v>-2.7559900666325765</v>
      </c>
      <c r="J134" s="74">
        <f t="shared" si="14"/>
        <v>8.4559900666325767</v>
      </c>
      <c r="K134" s="78"/>
      <c r="L134" s="78"/>
      <c r="M134" s="78"/>
      <c r="N134" s="78"/>
      <c r="O134" s="78"/>
    </row>
    <row r="135" spans="1:15" ht="15.6" x14ac:dyDescent="0.3">
      <c r="A135" s="2">
        <v>134</v>
      </c>
      <c r="B135" s="2">
        <v>219.8</v>
      </c>
      <c r="C135" s="2">
        <v>33.5</v>
      </c>
      <c r="D135" s="2">
        <v>45.1</v>
      </c>
      <c r="E135" s="2">
        <v>19.600000000000001</v>
      </c>
      <c r="F135" s="17">
        <f t="shared" si="10"/>
        <v>0.84745381384711094</v>
      </c>
      <c r="G135" s="16">
        <f t="shared" si="11"/>
        <v>0.68978036016423738</v>
      </c>
      <c r="H135" s="16">
        <f t="shared" si="12"/>
        <v>0.66790271559668757</v>
      </c>
      <c r="I135" s="74">
        <f t="shared" si="13"/>
        <v>0.20470863868467504</v>
      </c>
      <c r="J135" s="74">
        <f t="shared" si="14"/>
        <v>19.395291361315326</v>
      </c>
      <c r="K135" s="78"/>
      <c r="L135" s="78"/>
      <c r="M135" s="78"/>
      <c r="N135" s="78"/>
      <c r="O135" s="78"/>
    </row>
    <row r="136" spans="1:15" ht="15.6" x14ac:dyDescent="0.3">
      <c r="A136" s="2">
        <v>135</v>
      </c>
      <c r="B136" s="2">
        <v>36.9</v>
      </c>
      <c r="C136" s="2">
        <v>38.6</v>
      </c>
      <c r="D136" s="2">
        <v>65.599999999999994</v>
      </c>
      <c r="E136" s="2">
        <v>10.8</v>
      </c>
      <c r="F136" s="17">
        <f t="shared" si="10"/>
        <v>-1.2829011674625348</v>
      </c>
      <c r="G136" s="16">
        <f t="shared" si="11"/>
        <v>1.0320198617536545</v>
      </c>
      <c r="H136" s="16">
        <f t="shared" si="12"/>
        <v>1.6091928070123402</v>
      </c>
      <c r="I136" s="74">
        <f t="shared" si="13"/>
        <v>-1.1934347803947567</v>
      </c>
      <c r="J136" s="74">
        <f t="shared" si="14"/>
        <v>11.993434780394757</v>
      </c>
      <c r="K136" s="78"/>
      <c r="L136" s="78"/>
      <c r="M136" s="78"/>
      <c r="N136" s="78"/>
      <c r="O136" s="78"/>
    </row>
    <row r="137" spans="1:15" ht="15.6" x14ac:dyDescent="0.3">
      <c r="A137" s="2">
        <v>136</v>
      </c>
      <c r="B137" s="2">
        <v>48.3</v>
      </c>
      <c r="C137" s="2">
        <v>47</v>
      </c>
      <c r="D137" s="2">
        <v>8.5</v>
      </c>
      <c r="E137" s="2">
        <v>11.6</v>
      </c>
      <c r="F137" s="17">
        <f t="shared" si="10"/>
        <v>-1.1501179701583799</v>
      </c>
      <c r="G137" s="16">
        <f t="shared" si="11"/>
        <v>1.5957084526068119</v>
      </c>
      <c r="H137" s="16">
        <f t="shared" si="12"/>
        <v>-1.0126444720039418</v>
      </c>
      <c r="I137" s="74">
        <f t="shared" si="13"/>
        <v>-2.4200686674666532</v>
      </c>
      <c r="J137" s="74">
        <f t="shared" si="14"/>
        <v>14.020068667466653</v>
      </c>
      <c r="K137" s="78"/>
      <c r="L137" s="78"/>
      <c r="M137" s="78"/>
      <c r="N137" s="78"/>
      <c r="O137" s="78"/>
    </row>
    <row r="138" spans="1:15" ht="15.6" x14ac:dyDescent="0.3">
      <c r="A138" s="2">
        <v>137</v>
      </c>
      <c r="B138" s="2">
        <v>25.6</v>
      </c>
      <c r="C138" s="2">
        <v>39</v>
      </c>
      <c r="D138" s="2">
        <v>9.3000000000000007</v>
      </c>
      <c r="E138" s="2">
        <v>9.5</v>
      </c>
      <c r="F138" s="17">
        <f t="shared" si="10"/>
        <v>-1.4145195998780571</v>
      </c>
      <c r="G138" s="16">
        <f t="shared" si="11"/>
        <v>1.0588621756038048</v>
      </c>
      <c r="H138" s="16">
        <f t="shared" si="12"/>
        <v>-0.97591120014381871</v>
      </c>
      <c r="I138" s="74">
        <f t="shared" si="13"/>
        <v>-1.974759655387297</v>
      </c>
      <c r="J138" s="74">
        <f t="shared" si="14"/>
        <v>11.474759655387297</v>
      </c>
      <c r="K138" s="78"/>
      <c r="L138" s="78"/>
      <c r="M138" s="78"/>
      <c r="N138" s="78"/>
      <c r="O138" s="78"/>
    </row>
    <row r="139" spans="1:15" ht="15.6" x14ac:dyDescent="0.3">
      <c r="A139" s="2">
        <v>138</v>
      </c>
      <c r="B139" s="2">
        <v>273.7</v>
      </c>
      <c r="C139" s="2">
        <v>28.9</v>
      </c>
      <c r="D139" s="2">
        <v>59.7</v>
      </c>
      <c r="E139" s="2">
        <v>20.8</v>
      </c>
      <c r="F139" s="17">
        <f t="shared" si="10"/>
        <v>1.475262088820265</v>
      </c>
      <c r="G139" s="16">
        <f t="shared" si="11"/>
        <v>0.38109375088750819</v>
      </c>
      <c r="H139" s="16">
        <f t="shared" si="12"/>
        <v>1.3382849270439332</v>
      </c>
      <c r="I139" s="74">
        <f t="shared" si="13"/>
        <v>-0.22161128767310601</v>
      </c>
      <c r="J139" s="74">
        <f t="shared" si="14"/>
        <v>21.021611287673107</v>
      </c>
      <c r="K139" s="78"/>
      <c r="L139" s="78"/>
      <c r="M139" s="78"/>
      <c r="N139" s="78"/>
      <c r="O139" s="78"/>
    </row>
    <row r="140" spans="1:15" ht="15.6" x14ac:dyDescent="0.3">
      <c r="A140" s="2">
        <v>139</v>
      </c>
      <c r="B140" s="2">
        <v>43</v>
      </c>
      <c r="C140" s="2">
        <v>25.9</v>
      </c>
      <c r="D140" s="2">
        <v>20.5</v>
      </c>
      <c r="E140" s="2">
        <v>9.6</v>
      </c>
      <c r="F140" s="17">
        <f t="shared" si="10"/>
        <v>-1.2118505092559255</v>
      </c>
      <c r="G140" s="16">
        <f t="shared" si="11"/>
        <v>0.17977639701138048</v>
      </c>
      <c r="H140" s="16">
        <f t="shared" si="12"/>
        <v>-0.4616453941020961</v>
      </c>
      <c r="I140" s="74">
        <f t="shared" si="13"/>
        <v>-0.22309435269738387</v>
      </c>
      <c r="J140" s="74">
        <f t="shared" si="14"/>
        <v>9.8230943526973835</v>
      </c>
      <c r="K140" s="78"/>
      <c r="L140" s="78"/>
      <c r="M140" s="78"/>
      <c r="N140" s="78"/>
      <c r="O140" s="78"/>
    </row>
    <row r="141" spans="1:15" ht="15.6" x14ac:dyDescent="0.3">
      <c r="A141" s="2">
        <v>140</v>
      </c>
      <c r="B141" s="2">
        <v>184.9</v>
      </c>
      <c r="C141" s="2">
        <v>43.9</v>
      </c>
      <c r="D141" s="2">
        <v>1.7</v>
      </c>
      <c r="E141" s="2">
        <v>20.7</v>
      </c>
      <c r="F141" s="17">
        <f t="shared" si="10"/>
        <v>0.44095086771421516</v>
      </c>
      <c r="G141" s="16">
        <f t="shared" si="11"/>
        <v>1.3876805202681466</v>
      </c>
      <c r="H141" s="16">
        <f t="shared" si="12"/>
        <v>-1.3248772828149877</v>
      </c>
      <c r="I141" s="74">
        <f t="shared" si="13"/>
        <v>1.0069805691639466</v>
      </c>
      <c r="J141" s="74">
        <f t="shared" si="14"/>
        <v>19.693019430836053</v>
      </c>
      <c r="K141" s="78"/>
      <c r="L141" s="78"/>
      <c r="M141" s="78"/>
      <c r="N141" s="78"/>
      <c r="O141" s="78"/>
    </row>
    <row r="142" spans="1:15" ht="15.6" x14ac:dyDescent="0.3">
      <c r="A142" s="2">
        <v>141</v>
      </c>
      <c r="B142" s="2">
        <v>73.400000000000006</v>
      </c>
      <c r="C142" s="2">
        <v>17</v>
      </c>
      <c r="D142" s="2">
        <v>12.9</v>
      </c>
      <c r="E142" s="2">
        <v>10.9</v>
      </c>
      <c r="F142" s="17">
        <f t="shared" si="10"/>
        <v>-0.85776198311151208</v>
      </c>
      <c r="G142" s="16">
        <f t="shared" si="11"/>
        <v>-0.41746508615446487</v>
      </c>
      <c r="H142" s="16">
        <f t="shared" si="12"/>
        <v>-0.81061147677326506</v>
      </c>
      <c r="I142" s="74">
        <f t="shared" si="13"/>
        <v>1.3673287211358254</v>
      </c>
      <c r="J142" s="74">
        <f t="shared" si="14"/>
        <v>9.532671278864175</v>
      </c>
      <c r="K142" s="78"/>
      <c r="L142" s="78"/>
      <c r="M142" s="78"/>
      <c r="N142" s="78"/>
      <c r="O142" s="78"/>
    </row>
    <row r="143" spans="1:15" ht="15.6" x14ac:dyDescent="0.3">
      <c r="A143" s="2">
        <v>142</v>
      </c>
      <c r="B143" s="2">
        <v>193.7</v>
      </c>
      <c r="C143" s="2">
        <v>35.4</v>
      </c>
      <c r="D143" s="2">
        <v>75.599999999999994</v>
      </c>
      <c r="E143" s="2">
        <v>19.2</v>
      </c>
      <c r="F143" s="17">
        <f t="shared" si="10"/>
        <v>0.54345017791391359</v>
      </c>
      <c r="G143" s="16">
        <f t="shared" si="11"/>
        <v>0.81728135095245147</v>
      </c>
      <c r="H143" s="16">
        <f t="shared" si="12"/>
        <v>2.0683587052638783</v>
      </c>
      <c r="I143" s="74">
        <f t="shared" si="13"/>
        <v>0.60335464163741648</v>
      </c>
      <c r="J143" s="74">
        <f t="shared" si="14"/>
        <v>18.596645358362583</v>
      </c>
      <c r="K143" s="78"/>
      <c r="L143" s="78"/>
      <c r="M143" s="78"/>
      <c r="N143" s="78"/>
      <c r="O143" s="78"/>
    </row>
    <row r="144" spans="1:15" ht="15.6" x14ac:dyDescent="0.3">
      <c r="A144" s="2">
        <v>143</v>
      </c>
      <c r="B144" s="2">
        <v>220.5</v>
      </c>
      <c r="C144" s="2">
        <v>33.200000000000003</v>
      </c>
      <c r="D144" s="2">
        <v>37.9</v>
      </c>
      <c r="E144" s="2">
        <v>20.100000000000001</v>
      </c>
      <c r="F144" s="17">
        <f t="shared" si="10"/>
        <v>0.85560716806754145</v>
      </c>
      <c r="G144" s="16">
        <f t="shared" si="11"/>
        <v>0.66964862477662479</v>
      </c>
      <c r="H144" s="16">
        <f t="shared" si="12"/>
        <v>0.33730326885558004</v>
      </c>
      <c r="I144" s="74">
        <f t="shared" si="13"/>
        <v>0.73872164098873938</v>
      </c>
      <c r="J144" s="74">
        <f t="shared" si="14"/>
        <v>19.361278359011262</v>
      </c>
      <c r="K144" s="78"/>
      <c r="L144" s="78"/>
      <c r="M144" s="78"/>
      <c r="N144" s="78"/>
      <c r="O144" s="78"/>
    </row>
    <row r="145" spans="1:15" ht="15.6" x14ac:dyDescent="0.3">
      <c r="A145" s="2">
        <v>144</v>
      </c>
      <c r="B145" s="2">
        <v>104.6</v>
      </c>
      <c r="C145" s="2">
        <v>5.7</v>
      </c>
      <c r="D145" s="2">
        <v>34.4</v>
      </c>
      <c r="E145" s="2">
        <v>10.4</v>
      </c>
      <c r="F145" s="17">
        <f t="shared" si="10"/>
        <v>-0.49435533785803515</v>
      </c>
      <c r="G145" s="16">
        <f t="shared" si="11"/>
        <v>-1.1757604524212124</v>
      </c>
      <c r="H145" s="16">
        <f t="shared" si="12"/>
        <v>0.17659520446754171</v>
      </c>
      <c r="I145" s="74">
        <f t="shared" si="13"/>
        <v>1.5335243366693909</v>
      </c>
      <c r="J145" s="74">
        <f t="shared" si="14"/>
        <v>8.8664756633306094</v>
      </c>
      <c r="K145" s="78"/>
      <c r="L145" s="78"/>
      <c r="M145" s="78"/>
      <c r="N145" s="78"/>
      <c r="O145" s="78"/>
    </row>
    <row r="146" spans="1:15" ht="15.6" x14ac:dyDescent="0.3">
      <c r="A146" s="2">
        <v>145</v>
      </c>
      <c r="B146" s="2">
        <v>96.2</v>
      </c>
      <c r="C146" s="2">
        <v>14.8</v>
      </c>
      <c r="D146" s="2">
        <v>38.9</v>
      </c>
      <c r="E146" s="2">
        <v>11.4</v>
      </c>
      <c r="F146" s="17">
        <f t="shared" si="10"/>
        <v>-0.59219558850320198</v>
      </c>
      <c r="G146" s="16">
        <f t="shared" si="11"/>
        <v>-0.56509781233029177</v>
      </c>
      <c r="H146" s="16">
        <f t="shared" si="12"/>
        <v>0.38321985868073383</v>
      </c>
      <c r="I146" s="74">
        <f t="shared" si="13"/>
        <v>1.2005739716851416</v>
      </c>
      <c r="J146" s="74">
        <f t="shared" si="14"/>
        <v>10.199426028314859</v>
      </c>
      <c r="K146" s="78"/>
      <c r="L146" s="78"/>
      <c r="M146" s="78"/>
      <c r="N146" s="78"/>
      <c r="O146" s="78"/>
    </row>
    <row r="147" spans="1:15" ht="15.6" x14ac:dyDescent="0.3">
      <c r="A147" s="2">
        <v>146</v>
      </c>
      <c r="B147" s="2">
        <v>140.30000000000001</v>
      </c>
      <c r="C147" s="2">
        <v>1.9</v>
      </c>
      <c r="D147" s="2">
        <v>9</v>
      </c>
      <c r="E147" s="2">
        <v>10.3</v>
      </c>
      <c r="F147" s="17">
        <f t="shared" si="10"/>
        <v>-7.8534272616075679E-2</v>
      </c>
      <c r="G147" s="16">
        <f t="shared" si="11"/>
        <v>-1.430762433997641</v>
      </c>
      <c r="H147" s="16">
        <f t="shared" si="12"/>
        <v>-0.98968617709136486</v>
      </c>
      <c r="I147" s="74">
        <f t="shared" si="13"/>
        <v>0.54519658561901174</v>
      </c>
      <c r="J147" s="74">
        <f t="shared" si="14"/>
        <v>9.754803414380989</v>
      </c>
      <c r="K147" s="78"/>
      <c r="L147" s="78"/>
      <c r="M147" s="78"/>
      <c r="N147" s="78"/>
      <c r="O147" s="78"/>
    </row>
    <row r="148" spans="1:15" ht="15.6" x14ac:dyDescent="0.3">
      <c r="A148" s="2">
        <v>147</v>
      </c>
      <c r="B148" s="2">
        <v>240.1</v>
      </c>
      <c r="C148" s="2">
        <v>7.3</v>
      </c>
      <c r="D148" s="2">
        <v>8.6999999999999993</v>
      </c>
      <c r="E148" s="2">
        <v>13.2</v>
      </c>
      <c r="F148" s="17">
        <f t="shared" si="10"/>
        <v>1.0839010862395975</v>
      </c>
      <c r="G148" s="16">
        <f t="shared" si="11"/>
        <v>-1.068391197020611</v>
      </c>
      <c r="H148" s="16">
        <f t="shared" si="12"/>
        <v>-1.0034611540389111</v>
      </c>
      <c r="I148" s="74">
        <f t="shared" si="13"/>
        <v>-2.1478931895918603</v>
      </c>
      <c r="J148" s="74">
        <f t="shared" si="14"/>
        <v>15.34789318959186</v>
      </c>
      <c r="K148" s="78"/>
      <c r="L148" s="78"/>
      <c r="M148" s="78"/>
      <c r="N148" s="78"/>
      <c r="O148" s="78"/>
    </row>
    <row r="149" spans="1:15" ht="15.6" x14ac:dyDescent="0.3">
      <c r="A149" s="2">
        <v>148</v>
      </c>
      <c r="B149" s="2">
        <v>243.2</v>
      </c>
      <c r="C149" s="2">
        <v>49</v>
      </c>
      <c r="D149" s="2">
        <v>44.3</v>
      </c>
      <c r="E149" s="2">
        <v>25.4</v>
      </c>
      <c r="F149" s="17">
        <f t="shared" si="10"/>
        <v>1.1200087977872184</v>
      </c>
      <c r="G149" s="16">
        <f t="shared" si="11"/>
        <v>1.7299200218575637</v>
      </c>
      <c r="H149" s="16">
        <f t="shared" si="12"/>
        <v>0.63116944373656425</v>
      </c>
      <c r="I149" s="74">
        <f t="shared" si="13"/>
        <v>2.016153768618647</v>
      </c>
      <c r="J149" s="74">
        <f t="shared" si="14"/>
        <v>23.383846231381352</v>
      </c>
      <c r="K149" s="78"/>
      <c r="L149" s="78"/>
      <c r="M149" s="78"/>
      <c r="N149" s="78"/>
      <c r="O149" s="78"/>
    </row>
    <row r="150" spans="1:15" ht="15.6" x14ac:dyDescent="0.3">
      <c r="A150" s="2">
        <v>149</v>
      </c>
      <c r="B150" s="2">
        <v>38</v>
      </c>
      <c r="C150" s="2">
        <v>40.299999999999997</v>
      </c>
      <c r="D150" s="2">
        <v>11.9</v>
      </c>
      <c r="E150" s="2">
        <v>10.9</v>
      </c>
      <c r="F150" s="17">
        <f t="shared" si="10"/>
        <v>-1.2700887536875727</v>
      </c>
      <c r="G150" s="16">
        <f t="shared" si="11"/>
        <v>1.1460996956167933</v>
      </c>
      <c r="H150" s="16">
        <f t="shared" si="12"/>
        <v>-0.85652806659841896</v>
      </c>
      <c r="I150" s="74">
        <f t="shared" si="13"/>
        <v>-1.3915945935275644</v>
      </c>
      <c r="J150" s="74">
        <f t="shared" si="14"/>
        <v>12.291594593527565</v>
      </c>
      <c r="K150" s="78"/>
      <c r="L150" s="78"/>
      <c r="M150" s="78"/>
      <c r="N150" s="78"/>
      <c r="O150" s="78"/>
    </row>
    <row r="151" spans="1:15" ht="15.6" x14ac:dyDescent="0.3">
      <c r="A151" s="2">
        <v>150</v>
      </c>
      <c r="B151" s="2">
        <v>44.7</v>
      </c>
      <c r="C151" s="2">
        <v>25.8</v>
      </c>
      <c r="D151" s="2">
        <v>20.6</v>
      </c>
      <c r="E151" s="2">
        <v>10.1</v>
      </c>
      <c r="F151" s="17">
        <f t="shared" si="10"/>
        <v>-1.1920495061491656</v>
      </c>
      <c r="G151" s="16">
        <f t="shared" si="11"/>
        <v>0.17306581854884304</v>
      </c>
      <c r="H151" s="16">
        <f t="shared" si="12"/>
        <v>-0.4570537351195807</v>
      </c>
      <c r="I151" s="74">
        <f t="shared" si="13"/>
        <v>0.21761349902423888</v>
      </c>
      <c r="J151" s="74">
        <f t="shared" si="14"/>
        <v>9.8823865009757608</v>
      </c>
      <c r="K151" s="78"/>
      <c r="L151" s="78"/>
      <c r="M151" s="78"/>
      <c r="N151" s="78"/>
      <c r="O151" s="78"/>
    </row>
    <row r="152" spans="1:15" ht="15.6" x14ac:dyDescent="0.3">
      <c r="A152" s="2">
        <v>151</v>
      </c>
      <c r="B152" s="2">
        <v>280.7</v>
      </c>
      <c r="C152" s="2">
        <v>13.9</v>
      </c>
      <c r="D152" s="2">
        <v>37</v>
      </c>
      <c r="E152" s="2">
        <v>16.100000000000001</v>
      </c>
      <c r="F152" s="17">
        <f t="shared" si="10"/>
        <v>1.5567956310245707</v>
      </c>
      <c r="G152" s="16">
        <f t="shared" si="11"/>
        <v>-0.6254930184931301</v>
      </c>
      <c r="H152" s="16">
        <f t="shared" si="12"/>
        <v>0.29597833801294166</v>
      </c>
      <c r="I152" s="74">
        <f t="shared" si="13"/>
        <v>-2.3898980077257193</v>
      </c>
      <c r="J152" s="74">
        <f t="shared" si="14"/>
        <v>18.489898007725721</v>
      </c>
      <c r="K152" s="78"/>
      <c r="L152" s="78"/>
      <c r="M152" s="78"/>
      <c r="N152" s="78"/>
      <c r="O152" s="78"/>
    </row>
    <row r="153" spans="1:15" ht="15.6" x14ac:dyDescent="0.3">
      <c r="A153" s="2">
        <v>152</v>
      </c>
      <c r="B153" s="2">
        <v>121</v>
      </c>
      <c r="C153" s="2">
        <v>8.4</v>
      </c>
      <c r="D153" s="2">
        <v>48.7</v>
      </c>
      <c r="E153" s="2">
        <v>11.6</v>
      </c>
      <c r="F153" s="17">
        <f t="shared" si="10"/>
        <v>-0.30333389612223305</v>
      </c>
      <c r="G153" s="16">
        <f t="shared" si="11"/>
        <v>-0.99457483393269752</v>
      </c>
      <c r="H153" s="16">
        <f t="shared" si="12"/>
        <v>0.83320243896724133</v>
      </c>
      <c r="I153" s="74">
        <f t="shared" si="13"/>
        <v>1.4540907211495497</v>
      </c>
      <c r="J153" s="74">
        <f t="shared" si="14"/>
        <v>10.14590927885045</v>
      </c>
      <c r="K153" s="78"/>
      <c r="L153" s="78"/>
      <c r="M153" s="78"/>
      <c r="N153" s="78"/>
      <c r="O153" s="78"/>
    </row>
    <row r="154" spans="1:15" ht="15.6" x14ac:dyDescent="0.3">
      <c r="A154" s="2">
        <v>153</v>
      </c>
      <c r="B154" s="2">
        <v>197.6</v>
      </c>
      <c r="C154" s="2">
        <v>23.3</v>
      </c>
      <c r="D154" s="2">
        <v>14.2</v>
      </c>
      <c r="E154" s="2">
        <v>16.600000000000001</v>
      </c>
      <c r="F154" s="17">
        <f t="shared" si="10"/>
        <v>0.5888760085705983</v>
      </c>
      <c r="G154" s="16">
        <f t="shared" si="11"/>
        <v>5.3013569854033068E-3</v>
      </c>
      <c r="H154" s="16">
        <f t="shared" si="12"/>
        <v>-0.75091991000056513</v>
      </c>
      <c r="I154" s="74">
        <f t="shared" si="13"/>
        <v>0.18361087750954042</v>
      </c>
      <c r="J154" s="74">
        <f t="shared" si="14"/>
        <v>16.416389122490461</v>
      </c>
      <c r="K154" s="78"/>
      <c r="L154" s="78"/>
      <c r="M154" s="78"/>
      <c r="N154" s="78"/>
      <c r="O154" s="78"/>
    </row>
    <row r="155" spans="1:15" ht="15.6" x14ac:dyDescent="0.3">
      <c r="A155" s="2">
        <v>154</v>
      </c>
      <c r="B155" s="2">
        <v>171.3</v>
      </c>
      <c r="C155" s="2">
        <v>39.700000000000003</v>
      </c>
      <c r="D155" s="2">
        <v>37.700000000000003</v>
      </c>
      <c r="E155" s="2">
        <v>19</v>
      </c>
      <c r="F155" s="17">
        <f t="shared" si="10"/>
        <v>0.28254284286013548</v>
      </c>
      <c r="G155" s="16">
        <f t="shared" si="11"/>
        <v>1.1058362248415681</v>
      </c>
      <c r="H155" s="16">
        <f t="shared" si="12"/>
        <v>0.32811995089054946</v>
      </c>
      <c r="I155" s="74">
        <f t="shared" si="13"/>
        <v>0.67263268227854667</v>
      </c>
      <c r="J155" s="74">
        <f t="shared" si="14"/>
        <v>18.327367317721453</v>
      </c>
      <c r="K155" s="78"/>
      <c r="L155" s="78"/>
      <c r="M155" s="78"/>
      <c r="N155" s="78"/>
      <c r="O155" s="78"/>
    </row>
    <row r="156" spans="1:15" ht="15.6" x14ac:dyDescent="0.3">
      <c r="A156" s="2">
        <v>155</v>
      </c>
      <c r="B156" s="2">
        <v>187.8</v>
      </c>
      <c r="C156" s="2">
        <v>21.1</v>
      </c>
      <c r="D156" s="2">
        <v>9.5</v>
      </c>
      <c r="E156" s="2">
        <v>15.6</v>
      </c>
      <c r="F156" s="17">
        <f t="shared" si="10"/>
        <v>0.47472904948457045</v>
      </c>
      <c r="G156" s="16">
        <f t="shared" si="11"/>
        <v>-0.14233136919042361</v>
      </c>
      <c r="H156" s="16">
        <f t="shared" si="12"/>
        <v>-0.96672788217878802</v>
      </c>
      <c r="I156" s="74">
        <f t="shared" si="13"/>
        <v>5.3351313288287017E-2</v>
      </c>
      <c r="J156" s="74">
        <f t="shared" si="14"/>
        <v>15.546648686711713</v>
      </c>
      <c r="K156" s="78"/>
      <c r="L156" s="78"/>
      <c r="M156" s="78"/>
      <c r="N156" s="78"/>
      <c r="O156" s="78"/>
    </row>
    <row r="157" spans="1:15" ht="15.6" x14ac:dyDescent="0.3">
      <c r="A157" s="2">
        <v>156</v>
      </c>
      <c r="B157" s="2">
        <v>4.0999999999999996</v>
      </c>
      <c r="C157" s="2">
        <v>11.6</v>
      </c>
      <c r="D157" s="2">
        <v>5.7</v>
      </c>
      <c r="E157" s="2">
        <v>3.2</v>
      </c>
      <c r="F157" s="17">
        <f t="shared" si="10"/>
        <v>-1.6649440509341391</v>
      </c>
      <c r="G157" s="16">
        <f t="shared" si="11"/>
        <v>-0.77983632313149476</v>
      </c>
      <c r="H157" s="16">
        <f t="shared" si="12"/>
        <v>-1.1412109235143724</v>
      </c>
      <c r="I157" s="74">
        <f t="shared" si="13"/>
        <v>-2.1284314495450678</v>
      </c>
      <c r="J157" s="74">
        <f t="shared" si="14"/>
        <v>5.328431449545068</v>
      </c>
      <c r="K157" s="78"/>
      <c r="L157" s="78"/>
      <c r="M157" s="78"/>
      <c r="N157" s="78"/>
      <c r="O157" s="78"/>
    </row>
    <row r="158" spans="1:15" ht="15.6" x14ac:dyDescent="0.3">
      <c r="A158" s="2">
        <v>157</v>
      </c>
      <c r="B158" s="2">
        <v>93.9</v>
      </c>
      <c r="C158" s="2">
        <v>43.5</v>
      </c>
      <c r="D158" s="2">
        <v>50.5</v>
      </c>
      <c r="E158" s="2">
        <v>15.3</v>
      </c>
      <c r="F158" s="17">
        <f t="shared" si="10"/>
        <v>-0.61898518094175947</v>
      </c>
      <c r="G158" s="16">
        <f t="shared" si="11"/>
        <v>1.3608382064179962</v>
      </c>
      <c r="H158" s="16">
        <f t="shared" si="12"/>
        <v>0.91585230065251799</v>
      </c>
      <c r="I158" s="74">
        <f t="shared" si="13"/>
        <v>-0.20947884573204156</v>
      </c>
      <c r="J158" s="74">
        <f t="shared" si="14"/>
        <v>15.509478845732042</v>
      </c>
      <c r="K158" s="78"/>
      <c r="L158" s="78"/>
      <c r="M158" s="78"/>
      <c r="N158" s="78"/>
      <c r="O158" s="78"/>
    </row>
    <row r="159" spans="1:15" ht="15.6" x14ac:dyDescent="0.3">
      <c r="A159" s="2">
        <v>158</v>
      </c>
      <c r="B159" s="2">
        <v>149.80000000000001</v>
      </c>
      <c r="C159" s="2">
        <v>1.3</v>
      </c>
      <c r="D159" s="2">
        <v>24.3</v>
      </c>
      <c r="E159" s="2">
        <v>10.1</v>
      </c>
      <c r="F159" s="17">
        <f t="shared" si="10"/>
        <v>3.2118391804053549E-2</v>
      </c>
      <c r="G159" s="16">
        <f t="shared" si="11"/>
        <v>-1.4710259047728664</v>
      </c>
      <c r="H159" s="16">
        <f t="shared" si="12"/>
        <v>-0.28716235276651164</v>
      </c>
      <c r="I159" s="74">
        <f t="shared" si="13"/>
        <v>1.7992363072103501E-3</v>
      </c>
      <c r="J159" s="74">
        <f t="shared" si="14"/>
        <v>10.098200763692789</v>
      </c>
      <c r="K159" s="78"/>
      <c r="L159" s="78"/>
      <c r="M159" s="78"/>
      <c r="N159" s="78"/>
      <c r="O159" s="78"/>
    </row>
    <row r="160" spans="1:15" ht="15.6" x14ac:dyDescent="0.3">
      <c r="A160" s="2">
        <v>159</v>
      </c>
      <c r="B160" s="2">
        <v>11.7</v>
      </c>
      <c r="C160" s="2">
        <v>36.9</v>
      </c>
      <c r="D160" s="2">
        <v>45.2</v>
      </c>
      <c r="E160" s="2">
        <v>7.3</v>
      </c>
      <c r="F160" s="17">
        <f t="shared" si="10"/>
        <v>-1.5764219193980358</v>
      </c>
      <c r="G160" s="16">
        <f t="shared" si="11"/>
        <v>0.91794002789051532</v>
      </c>
      <c r="H160" s="16">
        <f t="shared" si="12"/>
        <v>0.67249437457920302</v>
      </c>
      <c r="I160" s="74">
        <f t="shared" si="13"/>
        <v>-3.1903322588044505</v>
      </c>
      <c r="J160" s="74">
        <f t="shared" si="14"/>
        <v>10.49033225880445</v>
      </c>
      <c r="K160" s="78"/>
      <c r="L160" s="78"/>
      <c r="M160" s="78"/>
      <c r="N160" s="78"/>
      <c r="O160" s="78"/>
    </row>
    <row r="161" spans="1:15" ht="15.6" x14ac:dyDescent="0.3">
      <c r="A161" s="2">
        <v>160</v>
      </c>
      <c r="B161" s="2">
        <v>131.69999999999999</v>
      </c>
      <c r="C161" s="2">
        <v>18.399999999999999</v>
      </c>
      <c r="D161" s="2">
        <v>34.6</v>
      </c>
      <c r="E161" s="2">
        <v>12.9</v>
      </c>
      <c r="F161" s="17">
        <f t="shared" si="10"/>
        <v>-0.1787040530385087</v>
      </c>
      <c r="G161" s="16">
        <f t="shared" si="11"/>
        <v>-0.32351698767893872</v>
      </c>
      <c r="H161" s="16">
        <f t="shared" si="12"/>
        <v>0.18577852243257259</v>
      </c>
      <c r="I161" s="74">
        <f t="shared" si="13"/>
        <v>0.40074531951525039</v>
      </c>
      <c r="J161" s="74">
        <f t="shared" si="14"/>
        <v>12.49925468048475</v>
      </c>
      <c r="K161" s="78"/>
      <c r="L161" s="78"/>
      <c r="M161" s="78"/>
      <c r="N161" s="78"/>
      <c r="O161" s="78"/>
    </row>
    <row r="162" spans="1:15" ht="15.6" x14ac:dyDescent="0.3">
      <c r="A162" s="2">
        <v>161</v>
      </c>
      <c r="B162" s="2">
        <v>172.5</v>
      </c>
      <c r="C162" s="2">
        <v>18.100000000000001</v>
      </c>
      <c r="D162" s="2">
        <v>30.7</v>
      </c>
      <c r="E162" s="2">
        <v>14.4</v>
      </c>
      <c r="F162" s="17">
        <f t="shared" si="10"/>
        <v>0.29652002152373064</v>
      </c>
      <c r="G162" s="16">
        <f t="shared" si="11"/>
        <v>-0.34364872306655131</v>
      </c>
      <c r="H162" s="16">
        <f t="shared" si="12"/>
        <v>6.7038221144726552E-3</v>
      </c>
      <c r="I162" s="74">
        <f t="shared" si="13"/>
        <v>9.1079452309182685E-2</v>
      </c>
      <c r="J162" s="74">
        <f t="shared" si="14"/>
        <v>14.308920547690818</v>
      </c>
      <c r="K162" s="78"/>
      <c r="L162" s="78"/>
      <c r="M162" s="78"/>
      <c r="N162" s="78"/>
      <c r="O162" s="78"/>
    </row>
    <row r="163" spans="1:15" ht="15.6" x14ac:dyDescent="0.3">
      <c r="A163" s="2">
        <v>162</v>
      </c>
      <c r="B163" s="2">
        <v>85.7</v>
      </c>
      <c r="C163" s="2">
        <v>35.799999999999997</v>
      </c>
      <c r="D163" s="2">
        <v>49.3</v>
      </c>
      <c r="E163" s="2">
        <v>13.3</v>
      </c>
      <c r="F163" s="17">
        <f t="shared" si="10"/>
        <v>-0.71449590180966061</v>
      </c>
      <c r="G163" s="16">
        <f t="shared" si="11"/>
        <v>0.8441236648026017</v>
      </c>
      <c r="H163" s="16">
        <f t="shared" si="12"/>
        <v>0.86075239286233329</v>
      </c>
      <c r="I163" s="74">
        <f t="shared" si="13"/>
        <v>-0.38299184358987404</v>
      </c>
      <c r="J163" s="74">
        <f t="shared" si="14"/>
        <v>13.682991843589875</v>
      </c>
      <c r="K163" s="78"/>
      <c r="L163" s="78"/>
      <c r="M163" s="78"/>
      <c r="N163" s="78"/>
      <c r="O163" s="78"/>
    </row>
    <row r="164" spans="1:15" ht="15.6" x14ac:dyDescent="0.3">
      <c r="A164" s="2">
        <v>163</v>
      </c>
      <c r="B164" s="2">
        <v>188.4</v>
      </c>
      <c r="C164" s="2">
        <v>18.100000000000001</v>
      </c>
      <c r="D164" s="2">
        <v>25.6</v>
      </c>
      <c r="E164" s="2">
        <v>14.9</v>
      </c>
      <c r="F164" s="17">
        <f t="shared" si="10"/>
        <v>0.48171763881636803</v>
      </c>
      <c r="G164" s="16">
        <f t="shared" si="11"/>
        <v>-0.34364872306655131</v>
      </c>
      <c r="H164" s="16">
        <f t="shared" si="12"/>
        <v>-0.22747078599381165</v>
      </c>
      <c r="I164" s="74">
        <f t="shared" si="13"/>
        <v>-0.13134485295252318</v>
      </c>
      <c r="J164" s="74">
        <f t="shared" si="14"/>
        <v>15.031344852952524</v>
      </c>
      <c r="K164" s="78"/>
      <c r="L164" s="78"/>
      <c r="M164" s="78"/>
      <c r="N164" s="78"/>
      <c r="O164" s="78"/>
    </row>
    <row r="165" spans="1:15" ht="15.6" x14ac:dyDescent="0.3">
      <c r="A165" s="2">
        <v>164</v>
      </c>
      <c r="B165" s="2">
        <v>163.5</v>
      </c>
      <c r="C165" s="2">
        <v>36.799999999999997</v>
      </c>
      <c r="D165" s="2">
        <v>7.4</v>
      </c>
      <c r="E165" s="2">
        <v>18</v>
      </c>
      <c r="F165" s="17">
        <f t="shared" si="10"/>
        <v>0.19169118154676609</v>
      </c>
      <c r="G165" s="16">
        <f t="shared" si="11"/>
        <v>0.91122944942797768</v>
      </c>
      <c r="H165" s="16">
        <f t="shared" si="12"/>
        <v>-1.0631527208116109</v>
      </c>
      <c r="I165" s="74">
        <f t="shared" si="13"/>
        <v>0.61674280490966282</v>
      </c>
      <c r="J165" s="74">
        <f t="shared" si="14"/>
        <v>17.383257195090337</v>
      </c>
      <c r="K165" s="78"/>
      <c r="L165" s="78"/>
      <c r="M165" s="78"/>
      <c r="N165" s="78"/>
      <c r="O165" s="78"/>
    </row>
    <row r="166" spans="1:15" ht="15.6" x14ac:dyDescent="0.3">
      <c r="A166" s="2">
        <v>165</v>
      </c>
      <c r="B166" s="2">
        <v>117.2</v>
      </c>
      <c r="C166" s="2">
        <v>14.7</v>
      </c>
      <c r="D166" s="2">
        <v>5.4</v>
      </c>
      <c r="E166" s="2">
        <v>11.9</v>
      </c>
      <c r="F166" s="17">
        <f t="shared" si="10"/>
        <v>-0.34759496189028471</v>
      </c>
      <c r="G166" s="16">
        <f t="shared" si="11"/>
        <v>-0.57180839079282952</v>
      </c>
      <c r="H166" s="16">
        <f t="shared" si="12"/>
        <v>-1.1549859004619187</v>
      </c>
      <c r="I166" s="74">
        <f t="shared" si="13"/>
        <v>0.80120427722293464</v>
      </c>
      <c r="J166" s="74">
        <f t="shared" si="14"/>
        <v>11.098795722777066</v>
      </c>
      <c r="K166" s="78"/>
      <c r="L166" s="78"/>
      <c r="M166" s="78"/>
      <c r="N166" s="78"/>
      <c r="O166" s="78"/>
    </row>
    <row r="167" spans="1:15" ht="15.6" x14ac:dyDescent="0.3">
      <c r="A167" s="2">
        <v>166</v>
      </c>
      <c r="B167" s="2">
        <v>234.5</v>
      </c>
      <c r="C167" s="2">
        <v>3.4</v>
      </c>
      <c r="D167" s="2">
        <v>84.8</v>
      </c>
      <c r="E167" s="2">
        <v>11.9</v>
      </c>
      <c r="F167" s="17">
        <f t="shared" si="10"/>
        <v>1.018674252476153</v>
      </c>
      <c r="G167" s="16">
        <f t="shared" si="11"/>
        <v>-1.3301037570595771</v>
      </c>
      <c r="H167" s="16">
        <f t="shared" si="12"/>
        <v>2.4907913316552932</v>
      </c>
      <c r="I167" s="74">
        <f t="shared" si="13"/>
        <v>-2.5594968408054424</v>
      </c>
      <c r="J167" s="74">
        <f t="shared" si="14"/>
        <v>14.459496840805443</v>
      </c>
      <c r="K167" s="78"/>
      <c r="L167" s="78"/>
      <c r="M167" s="78"/>
      <c r="N167" s="78"/>
      <c r="O167" s="78"/>
    </row>
    <row r="168" spans="1:15" ht="15.6" x14ac:dyDescent="0.3">
      <c r="A168" s="2">
        <v>167</v>
      </c>
      <c r="B168" s="2">
        <v>17.899999999999999</v>
      </c>
      <c r="C168" s="2">
        <v>37.6</v>
      </c>
      <c r="D168" s="2">
        <v>21.6</v>
      </c>
      <c r="E168" s="2">
        <v>8</v>
      </c>
      <c r="F168" s="17">
        <f t="shared" si="10"/>
        <v>-1.5042064963027932</v>
      </c>
      <c r="G168" s="16">
        <f t="shared" si="11"/>
        <v>0.96491407712827859</v>
      </c>
      <c r="H168" s="16">
        <f t="shared" si="12"/>
        <v>-0.41113714529442685</v>
      </c>
      <c r="I168" s="74">
        <f t="shared" si="13"/>
        <v>-2.8747015811141843</v>
      </c>
      <c r="J168" s="74">
        <f t="shared" si="14"/>
        <v>10.874701581114184</v>
      </c>
      <c r="K168" s="78"/>
      <c r="L168" s="78"/>
      <c r="M168" s="78"/>
      <c r="N168" s="78"/>
      <c r="O168" s="78"/>
    </row>
    <row r="169" spans="1:15" ht="15.6" x14ac:dyDescent="0.3">
      <c r="A169" s="2">
        <v>168</v>
      </c>
      <c r="B169" s="2">
        <v>206.8</v>
      </c>
      <c r="C169" s="2">
        <v>5.2</v>
      </c>
      <c r="D169" s="2">
        <v>19.399999999999999</v>
      </c>
      <c r="E169" s="2">
        <v>12.2</v>
      </c>
      <c r="F169" s="17">
        <f t="shared" si="10"/>
        <v>0.69603437832482884</v>
      </c>
      <c r="G169" s="16">
        <f t="shared" si="11"/>
        <v>-1.2093133447339004</v>
      </c>
      <c r="H169" s="16">
        <f t="shared" si="12"/>
        <v>-0.51215364290976539</v>
      </c>
      <c r="I169" s="74">
        <f t="shared" si="13"/>
        <v>-1.2397976793252798</v>
      </c>
      <c r="J169" s="74">
        <f t="shared" si="14"/>
        <v>13.439797679325279</v>
      </c>
      <c r="K169" s="78"/>
      <c r="L169" s="78"/>
      <c r="M169" s="78"/>
      <c r="N169" s="78"/>
      <c r="O169" s="78"/>
    </row>
    <row r="170" spans="1:15" ht="15.6" x14ac:dyDescent="0.3">
      <c r="A170" s="2">
        <v>169</v>
      </c>
      <c r="B170" s="2">
        <v>215.4</v>
      </c>
      <c r="C170" s="2">
        <v>23.6</v>
      </c>
      <c r="D170" s="2">
        <v>57.6</v>
      </c>
      <c r="E170" s="2">
        <v>17.100000000000001</v>
      </c>
      <c r="F170" s="17">
        <f t="shared" si="10"/>
        <v>0.79620415874726158</v>
      </c>
      <c r="G170" s="16">
        <f t="shared" si="11"/>
        <v>2.5433092373016122E-2</v>
      </c>
      <c r="H170" s="16">
        <f t="shared" si="12"/>
        <v>1.2418600884111102</v>
      </c>
      <c r="I170" s="74">
        <f t="shared" si="13"/>
        <v>-0.24757007126176589</v>
      </c>
      <c r="J170" s="74">
        <f t="shared" si="14"/>
        <v>17.347570071261767</v>
      </c>
      <c r="K170" s="78"/>
      <c r="L170" s="78"/>
      <c r="M170" s="78"/>
      <c r="N170" s="78"/>
      <c r="O170" s="78"/>
    </row>
    <row r="171" spans="1:15" ht="15.6" x14ac:dyDescent="0.3">
      <c r="A171" s="2">
        <v>170</v>
      </c>
      <c r="B171" s="2">
        <v>284.3</v>
      </c>
      <c r="C171" s="2">
        <v>10.6</v>
      </c>
      <c r="D171" s="2">
        <v>6.4</v>
      </c>
      <c r="E171" s="2">
        <v>15</v>
      </c>
      <c r="F171" s="17">
        <f t="shared" si="10"/>
        <v>1.5987271670153567</v>
      </c>
      <c r="G171" s="16">
        <f t="shared" si="11"/>
        <v>-0.84694210775687062</v>
      </c>
      <c r="H171" s="16">
        <f t="shared" si="12"/>
        <v>-1.1090693106367648</v>
      </c>
      <c r="I171" s="74">
        <f t="shared" si="13"/>
        <v>-2.9930016632950149</v>
      </c>
      <c r="J171" s="74">
        <f t="shared" si="14"/>
        <v>17.993001663295015</v>
      </c>
      <c r="K171" s="78"/>
      <c r="L171" s="78"/>
      <c r="M171" s="78"/>
      <c r="N171" s="78"/>
      <c r="O171" s="78"/>
    </row>
    <row r="172" spans="1:15" ht="15.6" x14ac:dyDescent="0.3">
      <c r="A172" s="2">
        <v>171</v>
      </c>
      <c r="B172" s="2">
        <v>50</v>
      </c>
      <c r="C172" s="2">
        <v>11.6</v>
      </c>
      <c r="D172" s="2">
        <v>18.399999999999999</v>
      </c>
      <c r="E172" s="2">
        <v>8.4</v>
      </c>
      <c r="F172" s="17">
        <f t="shared" si="10"/>
        <v>-1.1303169670516198</v>
      </c>
      <c r="G172" s="16">
        <f t="shared" si="11"/>
        <v>-0.77983632313149476</v>
      </c>
      <c r="H172" s="16">
        <f t="shared" si="12"/>
        <v>-0.55807023273491918</v>
      </c>
      <c r="I172" s="74">
        <f t="shared" si="13"/>
        <v>0.94923434444213406</v>
      </c>
      <c r="J172" s="74">
        <f t="shared" si="14"/>
        <v>7.4507656555578663</v>
      </c>
      <c r="K172" s="78"/>
      <c r="L172" s="78"/>
      <c r="M172" s="78"/>
      <c r="N172" s="78"/>
      <c r="O172" s="78"/>
    </row>
    <row r="173" spans="1:15" ht="15.6" x14ac:dyDescent="0.3">
      <c r="A173" s="2">
        <v>172</v>
      </c>
      <c r="B173" s="2">
        <v>164.5</v>
      </c>
      <c r="C173" s="2">
        <v>20.9</v>
      </c>
      <c r="D173" s="2">
        <v>47.4</v>
      </c>
      <c r="E173" s="2">
        <v>14.5</v>
      </c>
      <c r="F173" s="17">
        <f t="shared" si="10"/>
        <v>0.20333883043309547</v>
      </c>
      <c r="G173" s="16">
        <f t="shared" si="11"/>
        <v>-0.15575252611549897</v>
      </c>
      <c r="H173" s="16">
        <f t="shared" si="12"/>
        <v>0.77351087219454118</v>
      </c>
      <c r="I173" s="74">
        <f t="shared" si="13"/>
        <v>8.747577136368534E-3</v>
      </c>
      <c r="J173" s="74">
        <f t="shared" si="14"/>
        <v>14.491252422863631</v>
      </c>
      <c r="K173" s="78"/>
      <c r="L173" s="78"/>
      <c r="M173" s="78"/>
      <c r="N173" s="78"/>
      <c r="O173" s="78"/>
    </row>
    <row r="174" spans="1:15" ht="15.6" x14ac:dyDescent="0.3">
      <c r="A174" s="2">
        <v>173</v>
      </c>
      <c r="B174" s="2">
        <v>19.600000000000001</v>
      </c>
      <c r="C174" s="2">
        <v>20.100000000000001</v>
      </c>
      <c r="D174" s="2">
        <v>17</v>
      </c>
      <c r="E174" s="2">
        <v>7.6</v>
      </c>
      <c r="F174" s="17">
        <f t="shared" si="10"/>
        <v>-1.4844054931960335</v>
      </c>
      <c r="G174" s="16">
        <f t="shared" si="11"/>
        <v>-0.2094371538157995</v>
      </c>
      <c r="H174" s="16">
        <f t="shared" si="12"/>
        <v>-0.62235345849013446</v>
      </c>
      <c r="I174" s="74">
        <f t="shared" si="13"/>
        <v>-5.3835527748888445E-2</v>
      </c>
      <c r="J174" s="74">
        <f t="shared" si="14"/>
        <v>7.6538355277488881</v>
      </c>
      <c r="K174" s="78"/>
      <c r="L174" s="78"/>
      <c r="M174" s="78"/>
      <c r="N174" s="78"/>
      <c r="O174" s="78"/>
    </row>
    <row r="175" spans="1:15" ht="15.6" x14ac:dyDescent="0.3">
      <c r="A175" s="2">
        <v>174</v>
      </c>
      <c r="B175" s="2">
        <v>168.4</v>
      </c>
      <c r="C175" s="2">
        <v>7.1</v>
      </c>
      <c r="D175" s="2">
        <v>12.8</v>
      </c>
      <c r="E175" s="2">
        <v>11.7</v>
      </c>
      <c r="F175" s="17">
        <f t="shared" si="10"/>
        <v>0.24876466108978018</v>
      </c>
      <c r="G175" s="16">
        <f t="shared" si="11"/>
        <v>-1.0818123539456863</v>
      </c>
      <c r="H175" s="16">
        <f t="shared" si="12"/>
        <v>-0.81520313575578041</v>
      </c>
      <c r="I175" s="74">
        <f t="shared" si="13"/>
        <v>-0.32714652737502448</v>
      </c>
      <c r="J175" s="74">
        <f t="shared" si="14"/>
        <v>12.027146527375024</v>
      </c>
      <c r="K175" s="78"/>
      <c r="L175" s="78"/>
      <c r="M175" s="78"/>
      <c r="N175" s="78"/>
      <c r="O175" s="78"/>
    </row>
    <row r="176" spans="1:15" ht="15.6" x14ac:dyDescent="0.3">
      <c r="A176" s="2">
        <v>175</v>
      </c>
      <c r="B176" s="2">
        <v>222.4</v>
      </c>
      <c r="C176" s="2">
        <v>3.4</v>
      </c>
      <c r="D176" s="2">
        <v>13.1</v>
      </c>
      <c r="E176" s="2">
        <v>11.5</v>
      </c>
      <c r="F176" s="17">
        <f t="shared" si="10"/>
        <v>0.87773770095156733</v>
      </c>
      <c r="G176" s="16">
        <f t="shared" si="11"/>
        <v>-1.3301037570595771</v>
      </c>
      <c r="H176" s="16">
        <f t="shared" si="12"/>
        <v>-0.80142815880823426</v>
      </c>
      <c r="I176" s="74">
        <f t="shared" si="13"/>
        <v>-2.308176281248647</v>
      </c>
      <c r="J176" s="74">
        <f t="shared" si="14"/>
        <v>13.808176281248647</v>
      </c>
      <c r="K176" s="78"/>
      <c r="L176" s="78"/>
      <c r="M176" s="78"/>
      <c r="N176" s="78"/>
      <c r="O176" s="78"/>
    </row>
    <row r="177" spans="1:15" ht="15.6" x14ac:dyDescent="0.3">
      <c r="A177" s="2">
        <v>176</v>
      </c>
      <c r="B177" s="2">
        <v>276.89999999999998</v>
      </c>
      <c r="C177" s="2">
        <v>48.9</v>
      </c>
      <c r="D177" s="2">
        <v>41.8</v>
      </c>
      <c r="E177" s="2">
        <v>27</v>
      </c>
      <c r="F177" s="17">
        <f t="shared" si="10"/>
        <v>1.5125345652565187</v>
      </c>
      <c r="G177" s="16">
        <f t="shared" si="11"/>
        <v>1.723209443395026</v>
      </c>
      <c r="H177" s="16">
        <f t="shared" si="12"/>
        <v>0.51637796917367984</v>
      </c>
      <c r="I177" s="74">
        <f t="shared" si="13"/>
        <v>2.0926283269294004</v>
      </c>
      <c r="J177" s="74">
        <f t="shared" si="14"/>
        <v>24.9073716730706</v>
      </c>
      <c r="K177" s="78"/>
      <c r="L177" s="78"/>
      <c r="M177" s="78"/>
      <c r="N177" s="78"/>
      <c r="O177" s="78"/>
    </row>
    <row r="178" spans="1:15" ht="15.6" x14ac:dyDescent="0.3">
      <c r="A178" s="2">
        <v>177</v>
      </c>
      <c r="B178" s="2">
        <v>248.4</v>
      </c>
      <c r="C178" s="2">
        <v>30.2</v>
      </c>
      <c r="D178" s="2">
        <v>20.3</v>
      </c>
      <c r="E178" s="2">
        <v>20.2</v>
      </c>
      <c r="F178" s="17">
        <f t="shared" si="10"/>
        <v>1.1805765719961314</v>
      </c>
      <c r="G178" s="16">
        <f t="shared" si="11"/>
        <v>0.46833127090049687</v>
      </c>
      <c r="H178" s="16">
        <f t="shared" si="12"/>
        <v>-0.47082871206712684</v>
      </c>
      <c r="I178" s="74">
        <f t="shared" si="13"/>
        <v>0.14715062295081793</v>
      </c>
      <c r="J178" s="74">
        <f t="shared" si="14"/>
        <v>20.052849377049181</v>
      </c>
      <c r="K178" s="78"/>
      <c r="L178" s="78"/>
      <c r="M178" s="78"/>
      <c r="N178" s="78"/>
      <c r="O178" s="78"/>
    </row>
    <row r="179" spans="1:15" ht="15.6" x14ac:dyDescent="0.3">
      <c r="A179" s="2">
        <v>178</v>
      </c>
      <c r="B179" s="2">
        <v>170.2</v>
      </c>
      <c r="C179" s="2">
        <v>7.8</v>
      </c>
      <c r="D179" s="2">
        <v>35.200000000000003</v>
      </c>
      <c r="E179" s="2">
        <v>11.7</v>
      </c>
      <c r="F179" s="17">
        <f t="shared" si="10"/>
        <v>0.26973042908517286</v>
      </c>
      <c r="G179" s="16">
        <f t="shared" si="11"/>
        <v>-1.034838304707923</v>
      </c>
      <c r="H179" s="16">
        <f t="shared" si="12"/>
        <v>0.21332847632766494</v>
      </c>
      <c r="I179" s="74">
        <f t="shared" si="13"/>
        <v>-0.57150922243656233</v>
      </c>
      <c r="J179" s="74">
        <f t="shared" si="14"/>
        <v>12.271509222436562</v>
      </c>
      <c r="K179" s="78"/>
      <c r="L179" s="78"/>
      <c r="M179" s="78"/>
      <c r="N179" s="78"/>
      <c r="O179" s="78"/>
    </row>
    <row r="180" spans="1:15" ht="15.6" x14ac:dyDescent="0.3">
      <c r="A180" s="2">
        <v>179</v>
      </c>
      <c r="B180" s="2">
        <v>276.7</v>
      </c>
      <c r="C180" s="2">
        <v>2.2999999999999998</v>
      </c>
      <c r="D180" s="2">
        <v>23.7</v>
      </c>
      <c r="E180" s="2">
        <v>11.8</v>
      </c>
      <c r="F180" s="17">
        <f t="shared" si="10"/>
        <v>1.5102050354792531</v>
      </c>
      <c r="G180" s="16">
        <f t="shared" si="11"/>
        <v>-1.4039201201474905</v>
      </c>
      <c r="H180" s="16">
        <f t="shared" si="12"/>
        <v>-0.31471230666160399</v>
      </c>
      <c r="I180" s="74">
        <f t="shared" si="13"/>
        <v>-4.3060000651649801</v>
      </c>
      <c r="J180" s="74">
        <f t="shared" si="14"/>
        <v>16.106000065164981</v>
      </c>
      <c r="K180" s="78"/>
      <c r="L180" s="78"/>
      <c r="M180" s="78"/>
      <c r="N180" s="78"/>
      <c r="O180" s="78"/>
    </row>
    <row r="181" spans="1:15" ht="15.6" x14ac:dyDescent="0.3">
      <c r="A181" s="2">
        <v>180</v>
      </c>
      <c r="B181" s="2">
        <v>165.6</v>
      </c>
      <c r="C181" s="2">
        <v>10</v>
      </c>
      <c r="D181" s="2">
        <v>17.600000000000001</v>
      </c>
      <c r="E181" s="2">
        <v>12.6</v>
      </c>
      <c r="F181" s="17">
        <f t="shared" si="10"/>
        <v>0.21615124420805773</v>
      </c>
      <c r="G181" s="16">
        <f t="shared" si="11"/>
        <v>-0.88720557853209614</v>
      </c>
      <c r="H181" s="16">
        <f t="shared" si="12"/>
        <v>-0.59480350459504205</v>
      </c>
      <c r="I181" s="74">
        <f t="shared" si="13"/>
        <v>0.1491897122839152</v>
      </c>
      <c r="J181" s="74">
        <f t="shared" si="14"/>
        <v>12.450810287716084</v>
      </c>
      <c r="K181" s="78"/>
      <c r="L181" s="78"/>
      <c r="M181" s="78"/>
      <c r="N181" s="78"/>
      <c r="O181" s="78"/>
    </row>
    <row r="182" spans="1:15" ht="15.6" x14ac:dyDescent="0.3">
      <c r="A182" s="2">
        <v>181</v>
      </c>
      <c r="B182" s="2">
        <v>156.6</v>
      </c>
      <c r="C182" s="2">
        <v>2.6</v>
      </c>
      <c r="D182" s="2">
        <v>8.3000000000000007</v>
      </c>
      <c r="E182" s="2">
        <v>10.5</v>
      </c>
      <c r="F182" s="17">
        <f t="shared" si="10"/>
        <v>0.11132240423109321</v>
      </c>
      <c r="G182" s="16">
        <f t="shared" si="11"/>
        <v>-1.3837883847598775</v>
      </c>
      <c r="H182" s="16">
        <f t="shared" si="12"/>
        <v>-1.0218277899689725</v>
      </c>
      <c r="I182" s="74">
        <f t="shared" si="13"/>
        <v>-0.13319249916795961</v>
      </c>
      <c r="J182" s="74">
        <f t="shared" si="14"/>
        <v>10.63319249916796</v>
      </c>
      <c r="K182" s="78"/>
      <c r="L182" s="78"/>
      <c r="M182" s="78"/>
      <c r="N182" s="78"/>
      <c r="O182" s="78"/>
    </row>
    <row r="183" spans="1:15" ht="15.6" x14ac:dyDescent="0.3">
      <c r="A183" s="2">
        <v>182</v>
      </c>
      <c r="B183" s="2">
        <v>218.5</v>
      </c>
      <c r="C183" s="2">
        <v>5.4</v>
      </c>
      <c r="D183" s="2">
        <v>27.4</v>
      </c>
      <c r="E183" s="2">
        <v>12.2</v>
      </c>
      <c r="F183" s="17">
        <f t="shared" si="10"/>
        <v>0.83231187029488263</v>
      </c>
      <c r="G183" s="16">
        <f t="shared" si="11"/>
        <v>-1.1958921878088251</v>
      </c>
      <c r="H183" s="16">
        <f t="shared" si="12"/>
        <v>-0.14482092430853494</v>
      </c>
      <c r="I183" s="74">
        <f t="shared" si="13"/>
        <v>-1.824814456092291</v>
      </c>
      <c r="J183" s="74">
        <f t="shared" si="14"/>
        <v>14.02481445609229</v>
      </c>
      <c r="K183" s="78"/>
      <c r="L183" s="78"/>
      <c r="M183" s="78"/>
      <c r="N183" s="78"/>
      <c r="O183" s="78"/>
    </row>
    <row r="184" spans="1:15" ht="15.6" x14ac:dyDescent="0.3">
      <c r="A184" s="2">
        <v>183</v>
      </c>
      <c r="B184" s="2">
        <v>56.2</v>
      </c>
      <c r="C184" s="2">
        <v>5.7</v>
      </c>
      <c r="D184" s="2">
        <v>29.7</v>
      </c>
      <c r="E184" s="2">
        <v>8.6999999999999993</v>
      </c>
      <c r="F184" s="17">
        <f t="shared" si="10"/>
        <v>-1.0581015439563777</v>
      </c>
      <c r="G184" s="16">
        <f t="shared" si="11"/>
        <v>-1.1757604524212124</v>
      </c>
      <c r="H184" s="16">
        <f t="shared" si="12"/>
        <v>-3.9212767710681148E-2</v>
      </c>
      <c r="I184" s="74">
        <f t="shared" si="13"/>
        <v>2.0597758554338803</v>
      </c>
      <c r="J184" s="74">
        <f t="shared" si="14"/>
        <v>6.640224144566119</v>
      </c>
      <c r="K184" s="78"/>
      <c r="L184" s="78"/>
      <c r="M184" s="78"/>
      <c r="N184" s="78"/>
      <c r="O184" s="78"/>
    </row>
    <row r="185" spans="1:15" ht="15.6" x14ac:dyDescent="0.3">
      <c r="A185" s="2">
        <v>184</v>
      </c>
      <c r="B185" s="2">
        <v>287.60000000000002</v>
      </c>
      <c r="C185" s="2">
        <v>43</v>
      </c>
      <c r="D185" s="2">
        <v>71.8</v>
      </c>
      <c r="E185" s="2">
        <v>26.2</v>
      </c>
      <c r="F185" s="17">
        <f t="shared" si="10"/>
        <v>1.6371644083402439</v>
      </c>
      <c r="G185" s="16">
        <f t="shared" si="11"/>
        <v>1.3272853141053083</v>
      </c>
      <c r="H185" s="16">
        <f t="shared" si="12"/>
        <v>1.8938756639282939</v>
      </c>
      <c r="I185" s="74">
        <f t="shared" si="13"/>
        <v>1.8716453789233753</v>
      </c>
      <c r="J185" s="74">
        <f t="shared" si="14"/>
        <v>24.328354621076624</v>
      </c>
      <c r="K185" s="78"/>
      <c r="L185" s="78"/>
      <c r="M185" s="78"/>
      <c r="N185" s="78"/>
      <c r="O185" s="78"/>
    </row>
    <row r="186" spans="1:15" ht="15.6" x14ac:dyDescent="0.3">
      <c r="A186" s="2">
        <v>185</v>
      </c>
      <c r="B186" s="2">
        <v>253.8</v>
      </c>
      <c r="C186" s="2">
        <v>21.3</v>
      </c>
      <c r="D186" s="2">
        <v>30</v>
      </c>
      <c r="E186" s="2">
        <v>17.600000000000001</v>
      </c>
      <c r="F186" s="17">
        <f t="shared" si="10"/>
        <v>1.2434738759823103</v>
      </c>
      <c r="G186" s="16">
        <f t="shared" si="11"/>
        <v>-0.12891021226534849</v>
      </c>
      <c r="H186" s="16">
        <f t="shared" si="12"/>
        <v>-2.5437790763134977E-2</v>
      </c>
      <c r="I186" s="74">
        <f t="shared" si="13"/>
        <v>-1.0390091979950036</v>
      </c>
      <c r="J186" s="74">
        <f t="shared" si="14"/>
        <v>18.639009197995005</v>
      </c>
      <c r="K186" s="78"/>
      <c r="L186" s="78"/>
      <c r="M186" s="78"/>
      <c r="N186" s="78"/>
      <c r="O186" s="78"/>
    </row>
    <row r="187" spans="1:15" ht="15.6" x14ac:dyDescent="0.3">
      <c r="A187" s="2">
        <v>186</v>
      </c>
      <c r="B187" s="2">
        <v>205</v>
      </c>
      <c r="C187" s="2">
        <v>45.1</v>
      </c>
      <c r="D187" s="2">
        <v>19.600000000000001</v>
      </c>
      <c r="E187" s="2">
        <v>22.6</v>
      </c>
      <c r="F187" s="17">
        <f t="shared" si="10"/>
        <v>0.67506861032943588</v>
      </c>
      <c r="G187" s="16">
        <f t="shared" si="11"/>
        <v>1.4682074618185978</v>
      </c>
      <c r="H187" s="16">
        <f t="shared" si="12"/>
        <v>-0.50297032494473448</v>
      </c>
      <c r="I187" s="74">
        <f t="shared" si="13"/>
        <v>1.7352319507533842</v>
      </c>
      <c r="J187" s="74">
        <f t="shared" si="14"/>
        <v>20.864768049246617</v>
      </c>
      <c r="K187" s="78"/>
      <c r="L187" s="78"/>
      <c r="M187" s="78"/>
      <c r="N187" s="78"/>
      <c r="O187" s="78"/>
    </row>
    <row r="188" spans="1:15" ht="15.6" x14ac:dyDescent="0.3">
      <c r="A188" s="2">
        <v>187</v>
      </c>
      <c r="B188" s="2">
        <v>139.5</v>
      </c>
      <c r="C188" s="2">
        <v>2.1</v>
      </c>
      <c r="D188" s="2">
        <v>26.6</v>
      </c>
      <c r="E188" s="2">
        <v>10.3</v>
      </c>
      <c r="F188" s="17">
        <f t="shared" si="10"/>
        <v>-8.7852391725139312E-2</v>
      </c>
      <c r="G188" s="16">
        <f t="shared" si="11"/>
        <v>-1.4173412770725655</v>
      </c>
      <c r="H188" s="16">
        <f t="shared" si="12"/>
        <v>-0.18155419616865784</v>
      </c>
      <c r="I188" s="74">
        <f t="shared" si="13"/>
        <v>0.52061193755787727</v>
      </c>
      <c r="J188" s="74">
        <f t="shared" si="14"/>
        <v>9.7793880624421234</v>
      </c>
      <c r="K188" s="78"/>
      <c r="L188" s="78"/>
      <c r="M188" s="78"/>
      <c r="N188" s="78"/>
      <c r="O188" s="78"/>
    </row>
    <row r="189" spans="1:15" ht="15.6" x14ac:dyDescent="0.3">
      <c r="A189" s="2">
        <v>188</v>
      </c>
      <c r="B189" s="2">
        <v>191.1</v>
      </c>
      <c r="C189" s="2">
        <v>28.7</v>
      </c>
      <c r="D189" s="2">
        <v>18.2</v>
      </c>
      <c r="E189" s="2">
        <v>17.3</v>
      </c>
      <c r="F189" s="17">
        <f t="shared" si="10"/>
        <v>0.51316629080945719</v>
      </c>
      <c r="G189" s="16">
        <f t="shared" si="11"/>
        <v>0.36767259396243301</v>
      </c>
      <c r="H189" s="16">
        <f t="shared" si="12"/>
        <v>-0.56725355069994987</v>
      </c>
      <c r="I189" s="74">
        <f t="shared" si="13"/>
        <v>0.16034811692295392</v>
      </c>
      <c r="J189" s="74">
        <f t="shared" si="14"/>
        <v>17.139651883077047</v>
      </c>
      <c r="K189" s="78"/>
      <c r="L189" s="78"/>
      <c r="M189" s="78"/>
      <c r="N189" s="78"/>
      <c r="O189" s="78"/>
    </row>
    <row r="190" spans="1:15" ht="15.6" x14ac:dyDescent="0.3">
      <c r="A190" s="2">
        <v>189</v>
      </c>
      <c r="B190" s="2">
        <v>286</v>
      </c>
      <c r="C190" s="2">
        <v>13.9</v>
      </c>
      <c r="D190" s="2">
        <v>3.7</v>
      </c>
      <c r="E190" s="2">
        <v>15.9</v>
      </c>
      <c r="F190" s="17">
        <f t="shared" si="10"/>
        <v>1.6185281701221166</v>
      </c>
      <c r="G190" s="16">
        <f t="shared" si="11"/>
        <v>-0.6254930184931301</v>
      </c>
      <c r="H190" s="16">
        <f t="shared" si="12"/>
        <v>-1.2330441031646802</v>
      </c>
      <c r="I190" s="74">
        <f t="shared" si="13"/>
        <v>-2.7882482196000726</v>
      </c>
      <c r="J190" s="74">
        <f t="shared" si="14"/>
        <v>18.688248219600073</v>
      </c>
      <c r="K190" s="78"/>
      <c r="L190" s="78"/>
      <c r="M190" s="78"/>
      <c r="N190" s="78"/>
      <c r="O190" s="78"/>
    </row>
    <row r="191" spans="1:15" ht="15.6" x14ac:dyDescent="0.3">
      <c r="A191" s="2">
        <v>190</v>
      </c>
      <c r="B191" s="2">
        <v>18.7</v>
      </c>
      <c r="C191" s="2">
        <v>12.1</v>
      </c>
      <c r="D191" s="2">
        <v>23.4</v>
      </c>
      <c r="E191" s="2">
        <v>6.7</v>
      </c>
      <c r="F191" s="17">
        <f t="shared" si="10"/>
        <v>-1.49488837719373</v>
      </c>
      <c r="G191" s="16">
        <f t="shared" si="11"/>
        <v>-0.74628343081880677</v>
      </c>
      <c r="H191" s="16">
        <f t="shared" si="12"/>
        <v>-0.32848728360915014</v>
      </c>
      <c r="I191" s="74">
        <f t="shared" si="13"/>
        <v>0.58406051139764159</v>
      </c>
      <c r="J191" s="74">
        <f t="shared" si="14"/>
        <v>6.1159394886023586</v>
      </c>
      <c r="K191" s="78"/>
      <c r="L191" s="78"/>
      <c r="M191" s="78"/>
      <c r="N191" s="78"/>
      <c r="O191" s="78"/>
    </row>
    <row r="192" spans="1:15" ht="15.6" x14ac:dyDescent="0.3">
      <c r="A192" s="2">
        <v>191</v>
      </c>
      <c r="B192" s="2">
        <v>39.5</v>
      </c>
      <c r="C192" s="2">
        <v>41.1</v>
      </c>
      <c r="D192" s="2">
        <v>5.8</v>
      </c>
      <c r="E192" s="2">
        <v>10.8</v>
      </c>
      <c r="F192" s="17">
        <f t="shared" si="10"/>
        <v>-1.2526172803580784</v>
      </c>
      <c r="G192" s="16">
        <f t="shared" si="11"/>
        <v>1.1997843233170942</v>
      </c>
      <c r="H192" s="16">
        <f t="shared" si="12"/>
        <v>-1.1366192645318571</v>
      </c>
      <c r="I192" s="74">
        <f t="shared" si="13"/>
        <v>-1.702719825137784</v>
      </c>
      <c r="J192" s="74">
        <f t="shared" si="14"/>
        <v>12.502719825137785</v>
      </c>
      <c r="K192" s="78"/>
      <c r="L192" s="78"/>
      <c r="M192" s="78"/>
      <c r="N192" s="78"/>
      <c r="O192" s="78"/>
    </row>
    <row r="193" spans="1:15" ht="15.6" x14ac:dyDescent="0.3">
      <c r="A193" s="2">
        <v>192</v>
      </c>
      <c r="B193" s="2">
        <v>75.5</v>
      </c>
      <c r="C193" s="2">
        <v>10.8</v>
      </c>
      <c r="D193" s="2">
        <v>6</v>
      </c>
      <c r="E193" s="2">
        <v>9.9</v>
      </c>
      <c r="F193" s="17">
        <f t="shared" si="10"/>
        <v>-0.83330192045022045</v>
      </c>
      <c r="G193" s="16">
        <f t="shared" si="11"/>
        <v>-0.83352095083179534</v>
      </c>
      <c r="H193" s="16">
        <f t="shared" si="12"/>
        <v>-1.1274359465668262</v>
      </c>
      <c r="I193" s="74">
        <f t="shared" si="13"/>
        <v>1.446821879257449</v>
      </c>
      <c r="J193" s="74">
        <f t="shared" si="14"/>
        <v>8.4531781207425514</v>
      </c>
      <c r="K193" s="78"/>
      <c r="L193" s="78"/>
      <c r="M193" s="78"/>
      <c r="N193" s="78"/>
      <c r="O193" s="78"/>
    </row>
    <row r="194" spans="1:15" ht="15.6" x14ac:dyDescent="0.3">
      <c r="A194" s="2">
        <v>193</v>
      </c>
      <c r="B194" s="2">
        <v>17.2</v>
      </c>
      <c r="C194" s="2">
        <v>4.0999999999999996</v>
      </c>
      <c r="D194" s="2">
        <v>31.6</v>
      </c>
      <c r="E194" s="2">
        <v>5.9</v>
      </c>
      <c r="F194" s="17">
        <f t="shared" si="10"/>
        <v>-1.5123598505232241</v>
      </c>
      <c r="G194" s="16">
        <f t="shared" si="11"/>
        <v>-1.283129707821814</v>
      </c>
      <c r="H194" s="16">
        <f t="shared" si="12"/>
        <v>4.8028752957111176E-2</v>
      </c>
      <c r="I194" s="74">
        <f t="shared" si="13"/>
        <v>1.347057938097791</v>
      </c>
      <c r="J194" s="74">
        <f t="shared" si="14"/>
        <v>4.5529420619022094</v>
      </c>
      <c r="K194" s="78"/>
      <c r="L194" s="78"/>
      <c r="M194" s="78"/>
      <c r="N194" s="78"/>
      <c r="O194" s="78"/>
    </row>
    <row r="195" spans="1:15" ht="15.6" x14ac:dyDescent="0.3">
      <c r="A195" s="2">
        <v>194</v>
      </c>
      <c r="B195" s="2">
        <v>166.8</v>
      </c>
      <c r="C195" s="2">
        <v>42</v>
      </c>
      <c r="D195" s="2">
        <v>3.6</v>
      </c>
      <c r="E195" s="2">
        <v>19.600000000000001</v>
      </c>
      <c r="F195" s="17">
        <f t="shared" ref="F195:F201" si="15">(B195-AVERAGE($B$2:$B$201))/_xlfn.STDEV.S($B$2:$B$201)</f>
        <v>0.23012842287165322</v>
      </c>
      <c r="G195" s="16">
        <f t="shared" ref="G195:G201" si="16">(C195-AVERAGE($C$2:$C$201))/_xlfn.STDEV.S($C$2:$C$201)</f>
        <v>1.2601795294799325</v>
      </c>
      <c r="H195" s="16">
        <f t="shared" ref="H195:H201" si="17">(D195-AVERAGE($D$2:$D$201))/_xlfn.STDEV.S($D$2:$D$201)</f>
        <v>-1.2376357621471954</v>
      </c>
      <c r="I195" s="74">
        <f t="shared" ref="I195:I201" si="18">$E195-$J195</f>
        <v>1.0920992478277824</v>
      </c>
      <c r="J195" s="74">
        <f t="shared" ref="J195:J201" si="19">$N$2 + $M$2*B195 + $L$2*C195 - $K$2*D195</f>
        <v>18.507900752172219</v>
      </c>
      <c r="K195" s="78"/>
      <c r="L195" s="78"/>
      <c r="M195" s="78"/>
      <c r="N195" s="78"/>
      <c r="O195" s="78"/>
    </row>
    <row r="196" spans="1:15" ht="15.6" x14ac:dyDescent="0.3">
      <c r="A196" s="2">
        <v>195</v>
      </c>
      <c r="B196" s="2">
        <v>149.69999999999999</v>
      </c>
      <c r="C196" s="2">
        <v>35.6</v>
      </c>
      <c r="D196" s="2">
        <v>6</v>
      </c>
      <c r="E196" s="2">
        <v>17.3</v>
      </c>
      <c r="F196" s="17">
        <f t="shared" si="15"/>
        <v>3.0953626915420345E-2</v>
      </c>
      <c r="G196" s="16">
        <f t="shared" si="16"/>
        <v>0.83070250787752686</v>
      </c>
      <c r="H196" s="16">
        <f t="shared" si="17"/>
        <v>-1.1274359465668262</v>
      </c>
      <c r="I196" s="74">
        <f t="shared" si="18"/>
        <v>0.77736326850924797</v>
      </c>
      <c r="J196" s="74">
        <f t="shared" si="19"/>
        <v>16.522636731490753</v>
      </c>
      <c r="K196" s="78"/>
      <c r="L196" s="78"/>
      <c r="M196" s="78"/>
      <c r="N196" s="78"/>
      <c r="O196" s="78"/>
    </row>
    <row r="197" spans="1:15" ht="15.6" x14ac:dyDescent="0.3">
      <c r="A197" s="2">
        <v>196</v>
      </c>
      <c r="B197" s="2">
        <v>38.200000000000003</v>
      </c>
      <c r="C197" s="2">
        <v>3.7</v>
      </c>
      <c r="D197" s="2">
        <v>13.8</v>
      </c>
      <c r="E197" s="2">
        <v>7.6</v>
      </c>
      <c r="F197" s="17">
        <f t="shared" si="15"/>
        <v>-1.2677592239103066</v>
      </c>
      <c r="G197" s="16">
        <f t="shared" si="16"/>
        <v>-1.3099720216719644</v>
      </c>
      <c r="H197" s="16">
        <f t="shared" si="17"/>
        <v>-0.76928654593062662</v>
      </c>
      <c r="I197" s="74">
        <f t="shared" si="18"/>
        <v>2.1830392325952017</v>
      </c>
      <c r="J197" s="74">
        <f t="shared" si="19"/>
        <v>5.4169607674047979</v>
      </c>
      <c r="K197" s="78"/>
      <c r="L197" s="78"/>
      <c r="M197" s="78"/>
      <c r="N197" s="78"/>
      <c r="O197" s="78"/>
    </row>
    <row r="198" spans="1:15" ht="15.6" x14ac:dyDescent="0.3">
      <c r="A198" s="2">
        <v>197</v>
      </c>
      <c r="B198" s="2">
        <v>94.2</v>
      </c>
      <c r="C198" s="2">
        <v>4.9000000000000004</v>
      </c>
      <c r="D198" s="2">
        <v>8.1</v>
      </c>
      <c r="E198" s="2">
        <v>9.6999999999999993</v>
      </c>
      <c r="F198" s="17">
        <f t="shared" si="15"/>
        <v>-0.61549088627586068</v>
      </c>
      <c r="G198" s="16">
        <f t="shared" si="16"/>
        <v>-1.2294450801215131</v>
      </c>
      <c r="H198" s="16">
        <f t="shared" si="17"/>
        <v>-1.0310111079340032</v>
      </c>
      <c r="I198" s="74">
        <f t="shared" si="18"/>
        <v>1.496393819899275</v>
      </c>
      <c r="J198" s="74">
        <f t="shared" si="19"/>
        <v>8.2036061801007243</v>
      </c>
      <c r="K198" s="78"/>
      <c r="L198" s="78"/>
      <c r="M198" s="78"/>
      <c r="N198" s="78"/>
      <c r="O198" s="78"/>
    </row>
    <row r="199" spans="1:15" ht="15.6" x14ac:dyDescent="0.3">
      <c r="A199" s="2">
        <v>198</v>
      </c>
      <c r="B199" s="2">
        <v>177</v>
      </c>
      <c r="C199" s="2">
        <v>9.3000000000000007</v>
      </c>
      <c r="D199" s="2">
        <v>6.4</v>
      </c>
      <c r="E199" s="2">
        <v>12.8</v>
      </c>
      <c r="F199" s="17">
        <f t="shared" si="15"/>
        <v>0.34893444151221287</v>
      </c>
      <c r="G199" s="16">
        <f t="shared" si="16"/>
        <v>-0.93417962776985919</v>
      </c>
      <c r="H199" s="16">
        <f t="shared" si="17"/>
        <v>-1.1090693106367648</v>
      </c>
      <c r="I199" s="74">
        <f t="shared" si="18"/>
        <v>-2.6933207627882538E-2</v>
      </c>
      <c r="J199" s="74">
        <f t="shared" si="19"/>
        <v>12.826933207627883</v>
      </c>
      <c r="K199" s="78"/>
      <c r="L199" s="78"/>
      <c r="M199" s="78"/>
      <c r="N199" s="78"/>
      <c r="O199" s="78"/>
    </row>
    <row r="200" spans="1:15" ht="15.6" x14ac:dyDescent="0.3">
      <c r="A200" s="2">
        <v>199</v>
      </c>
      <c r="B200" s="2">
        <v>283.60000000000002</v>
      </c>
      <c r="C200" s="2">
        <v>42</v>
      </c>
      <c r="D200" s="2">
        <v>66.2</v>
      </c>
      <c r="E200" s="2">
        <v>25.5</v>
      </c>
      <c r="F200" s="17">
        <f t="shared" si="15"/>
        <v>1.5905738127949263</v>
      </c>
      <c r="G200" s="16">
        <f t="shared" si="16"/>
        <v>1.2601795294799325</v>
      </c>
      <c r="H200" s="16">
        <f t="shared" si="17"/>
        <v>1.636742760907433</v>
      </c>
      <c r="I200" s="74">
        <f t="shared" si="18"/>
        <v>1.5507873065800943</v>
      </c>
      <c r="J200" s="74">
        <f t="shared" si="19"/>
        <v>23.949212693419906</v>
      </c>
      <c r="K200" s="78"/>
      <c r="L200" s="78"/>
      <c r="M200" s="78"/>
      <c r="N200" s="78"/>
      <c r="O200" s="78"/>
    </row>
    <row r="201" spans="1:15" ht="15.6" x14ac:dyDescent="0.3">
      <c r="A201" s="2">
        <v>200</v>
      </c>
      <c r="B201" s="2">
        <v>232.1</v>
      </c>
      <c r="C201" s="2">
        <f>COUNTBLANK(C2:C200)</f>
        <v>0</v>
      </c>
      <c r="D201" s="2">
        <v>8.6999999999999993</v>
      </c>
      <c r="E201" s="2">
        <v>13.4</v>
      </c>
      <c r="F201" s="17">
        <f t="shared" si="15"/>
        <v>0.9907198951489623</v>
      </c>
      <c r="G201" s="16">
        <f t="shared" si="16"/>
        <v>-1.5582634247858551</v>
      </c>
      <c r="H201" s="16">
        <f t="shared" si="17"/>
        <v>-1.0034611540389111</v>
      </c>
      <c r="I201" s="74">
        <f t="shared" si="18"/>
        <v>-0.20745256868361039</v>
      </c>
      <c r="J201" s="74">
        <f t="shared" si="19"/>
        <v>13.607452568683611</v>
      </c>
      <c r="K201" s="78"/>
      <c r="L201" s="78"/>
      <c r="M201" s="78"/>
      <c r="N201" s="78"/>
      <c r="O201" s="78"/>
    </row>
    <row r="202" spans="1:15" x14ac:dyDescent="0.3">
      <c r="A202" s="80"/>
      <c r="B202" s="75">
        <f>COUNT(B2:B201)</f>
        <v>200</v>
      </c>
      <c r="C202" s="75">
        <f>COUNT(C2:C201)</f>
        <v>200</v>
      </c>
      <c r="D202" s="75">
        <f>COUNT(D2:D201)</f>
        <v>200</v>
      </c>
      <c r="E202" s="75">
        <f>COUNT(E2:E201)</f>
        <v>200</v>
      </c>
      <c r="F202" s="76"/>
      <c r="G202" s="76"/>
      <c r="H202" s="76"/>
      <c r="I202" s="76"/>
      <c r="J202" s="76"/>
      <c r="K202" s="76"/>
      <c r="L202" s="76"/>
      <c r="M202" s="76"/>
      <c r="N202" s="76"/>
      <c r="O202" s="76"/>
    </row>
    <row r="203" spans="1:15" x14ac:dyDescent="0.3">
      <c r="A203" s="80"/>
      <c r="B203" s="75">
        <f>COUNTBLANK(B2:B201)</f>
        <v>0</v>
      </c>
      <c r="C203" s="75">
        <f>COUNTBLANK(C2:C201)</f>
        <v>0</v>
      </c>
      <c r="D203" s="75">
        <f>COUNTBLANK(D2:D201)</f>
        <v>0</v>
      </c>
      <c r="E203" s="75">
        <f>COUNTBLANK(E2:E201)</f>
        <v>0</v>
      </c>
      <c r="F203" s="76"/>
      <c r="G203" s="76"/>
      <c r="H203" s="76"/>
      <c r="I203" s="76"/>
      <c r="J203" s="76"/>
      <c r="K203" s="76"/>
      <c r="L203" s="76"/>
      <c r="M203" s="76"/>
      <c r="N203" s="76"/>
      <c r="O203" s="76"/>
    </row>
    <row r="205" spans="1:15" x14ac:dyDescent="0.3">
      <c r="J205" s="79"/>
    </row>
  </sheetData>
  <autoFilter ref="A1:J1" xr:uid="{AD76E5B5-2527-47B2-9603-3396F511FB4C}"/>
  <mergeCells count="2">
    <mergeCell ref="P1:S1"/>
    <mergeCell ref="K7:N7"/>
  </mergeCells>
  <pageMargins left="0.7" right="0.7" top="0.75" bottom="0.75" header="0.3" footer="0.3"/>
  <pageSetup orientation="portrait" r:id="rId1"/>
  <ignoredErrors>
    <ignoredError sqref="M4:M6 N4:N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3948-6B9F-476C-A444-74020B8173BE}">
  <dimension ref="A1:F36"/>
  <sheetViews>
    <sheetView zoomScale="65" workbookViewId="0">
      <selection activeCell="C29" sqref="C29"/>
    </sheetView>
  </sheetViews>
  <sheetFormatPr defaultRowHeight="14.4" x14ac:dyDescent="0.3"/>
  <cols>
    <col min="1" max="1" width="18.88671875" bestFit="1" customWidth="1"/>
    <col min="2" max="6" width="15" customWidth="1"/>
  </cols>
  <sheetData>
    <row r="1" spans="1:6" ht="24" customHeight="1" x14ac:dyDescent="0.3">
      <c r="A1" s="61" t="s">
        <v>4</v>
      </c>
      <c r="B1" s="37" t="s">
        <v>0</v>
      </c>
      <c r="C1" s="37" t="s">
        <v>1</v>
      </c>
      <c r="D1" s="37" t="s">
        <v>2</v>
      </c>
      <c r="E1" s="37" t="s">
        <v>3</v>
      </c>
      <c r="F1" s="33"/>
    </row>
    <row r="2" spans="1:6" ht="15.6" x14ac:dyDescent="0.3">
      <c r="A2" s="62" t="s">
        <v>7</v>
      </c>
      <c r="B2" s="64">
        <f>AVERAGE(advertising_Dataset!B$2:B$201)</f>
        <v>147.04249999999999</v>
      </c>
      <c r="C2" s="64">
        <f>AVERAGE(advertising_Dataset!C$2:C$201)</f>
        <v>23.221000000000021</v>
      </c>
      <c r="D2" s="64">
        <f>AVERAGE(advertising_Dataset!D$2:D$201)</f>
        <v>30.553999999999995</v>
      </c>
      <c r="E2" s="64">
        <f>AVERAGE(advertising_Dataset!E$2:E$201)</f>
        <v>14.022500000000003</v>
      </c>
      <c r="F2" s="33"/>
    </row>
    <row r="3" spans="1:6" ht="15.6" x14ac:dyDescent="0.3">
      <c r="A3" s="62" t="s">
        <v>8</v>
      </c>
      <c r="B3" s="2">
        <f>MEDIAN(advertising_Dataset!B$2:B$201)</f>
        <v>149.75</v>
      </c>
      <c r="C3" s="2">
        <f>MEDIAN(advertising_Dataset!C$2:C$201)</f>
        <v>22.9</v>
      </c>
      <c r="D3" s="2">
        <f>MEDIAN(advertising_Dataset!D$2:D$201)</f>
        <v>25.75</v>
      </c>
      <c r="E3" s="2">
        <f>MEDIAN(advertising_Dataset!E$2:E$201)</f>
        <v>12.9</v>
      </c>
      <c r="F3" s="34"/>
    </row>
    <row r="4" spans="1:6" ht="15.6" x14ac:dyDescent="0.3">
      <c r="A4" s="62" t="s">
        <v>9</v>
      </c>
      <c r="B4" s="2">
        <f>_xlfn.MODE.SNGL(advertising_Dataset!B$2:B$201)</f>
        <v>17.2</v>
      </c>
      <c r="C4" s="2">
        <f>_xlfn.MODE.SNGL(advertising_Dataset!C$2:C$201)</f>
        <v>4.0999999999999996</v>
      </c>
      <c r="D4" s="2">
        <f>_xlfn.MODE.SNGL(advertising_Dataset!D$2:D$201)</f>
        <v>9.3000000000000007</v>
      </c>
      <c r="E4" s="2">
        <f>_xlfn.MODE.SNGL(advertising_Dataset!E$2:E$201)</f>
        <v>9.6999999999999993</v>
      </c>
      <c r="F4" s="34"/>
    </row>
    <row r="5" spans="1:6" ht="15.6" x14ac:dyDescent="0.3">
      <c r="A5" s="62" t="s">
        <v>10</v>
      </c>
      <c r="B5" s="64">
        <f>_xlfn.VAR.S(advertising_Dataset!B$2:B$201)</f>
        <v>7370.9498932160877</v>
      </c>
      <c r="C5" s="64">
        <f>_xlfn.VAR.S(advertising_Dataset!C$2:C$201)</f>
        <v>222.06498391959707</v>
      </c>
      <c r="D5" s="64">
        <f>_xlfn.VAR.S(advertising_Dataset!D$2:D$201)</f>
        <v>474.30832562814089</v>
      </c>
      <c r="E5" s="64">
        <f>_xlfn.VAR.S(advertising_Dataset!E$2:E$201)</f>
        <v>27.221853015075343</v>
      </c>
      <c r="F5" s="33"/>
    </row>
    <row r="6" spans="1:6" ht="15.6" x14ac:dyDescent="0.3">
      <c r="A6" s="62" t="s">
        <v>11</v>
      </c>
      <c r="B6" s="64">
        <f>_xlfn.STDEV.S(advertising_Dataset!B$2:B$201)</f>
        <v>85.854236314908121</v>
      </c>
      <c r="C6" s="64">
        <f>_xlfn.STDEV.S(advertising_Dataset!C$2:C$201)</f>
        <v>14.901844983746042</v>
      </c>
      <c r="D6" s="64">
        <f>_xlfn.STDEV.S(advertising_Dataset!D$2:D$201)</f>
        <v>21.77862083852283</v>
      </c>
      <c r="E6" s="64">
        <f>_xlfn.STDEV.S(advertising_Dataset!E$2:E$201)</f>
        <v>5.2174565657104752</v>
      </c>
      <c r="F6" s="33"/>
    </row>
    <row r="7" spans="1:6" ht="15.6" x14ac:dyDescent="0.3">
      <c r="A7" s="62" t="s">
        <v>12</v>
      </c>
      <c r="B7" s="2">
        <f>MAX(advertising_Dataset!B$2:B$201)-MIN(advertising_Dataset!B$2:B$201)</f>
        <v>295.7</v>
      </c>
      <c r="C7" s="2">
        <f>MAX(advertising_Dataset!C$2:C$201)-MIN(advertising_Dataset!C$2:C$201)</f>
        <v>49.6</v>
      </c>
      <c r="D7" s="2">
        <f>MAX(advertising_Dataset!D$2:D$201)-MIN(advertising_Dataset!D$2:D$201)</f>
        <v>113.7</v>
      </c>
      <c r="E7" s="2">
        <f>MAX(advertising_Dataset!E$2:E$201)-MIN(advertising_Dataset!E$2:E$201)</f>
        <v>25.4</v>
      </c>
      <c r="F7" s="34"/>
    </row>
    <row r="8" spans="1:6" ht="15.6" x14ac:dyDescent="0.3">
      <c r="A8" s="62" t="s">
        <v>14</v>
      </c>
      <c r="B8" s="2">
        <f>MIN(advertising_Dataset!B$2:B$201)</f>
        <v>0.7</v>
      </c>
      <c r="C8" s="2">
        <f>MIN(advertising_Dataset!C$2:C$201)</f>
        <v>0</v>
      </c>
      <c r="D8" s="2">
        <f>MIN(advertising_Dataset!D$2:D$201)</f>
        <v>0.3</v>
      </c>
      <c r="E8" s="2">
        <f>MIN(advertising_Dataset!E$2:E$201)</f>
        <v>1.6</v>
      </c>
      <c r="F8" s="34"/>
    </row>
    <row r="9" spans="1:6" ht="15.6" x14ac:dyDescent="0.3">
      <c r="A9" s="62" t="s">
        <v>13</v>
      </c>
      <c r="B9" s="2">
        <f>MAX(advertising_Dataset!B$2:B$201)</f>
        <v>296.39999999999998</v>
      </c>
      <c r="C9" s="2">
        <f>MAX(advertising_Dataset!C$2:C$201)</f>
        <v>49.6</v>
      </c>
      <c r="D9" s="2">
        <f>MAX(advertising_Dataset!D$2:D$201)</f>
        <v>114</v>
      </c>
      <c r="E9" s="2">
        <f>MAX(advertising_Dataset!E$2:E$201)</f>
        <v>27</v>
      </c>
      <c r="F9" s="34"/>
    </row>
    <row r="13" spans="1:6" ht="24" customHeight="1" x14ac:dyDescent="0.3">
      <c r="A13" s="61" t="s">
        <v>4</v>
      </c>
      <c r="B13" s="86" t="s">
        <v>94</v>
      </c>
      <c r="C13" s="86"/>
      <c r="D13" s="86" t="s">
        <v>95</v>
      </c>
      <c r="E13" s="86"/>
    </row>
    <row r="14" spans="1:6" ht="15.6" x14ac:dyDescent="0.3">
      <c r="A14" s="1" t="s">
        <v>0</v>
      </c>
      <c r="B14" s="85" t="s">
        <v>15</v>
      </c>
      <c r="C14" s="85"/>
      <c r="D14" s="85" t="s">
        <v>19</v>
      </c>
      <c r="E14" s="85"/>
      <c r="F14" s="35"/>
    </row>
    <row r="15" spans="1:6" ht="15.6" x14ac:dyDescent="0.3">
      <c r="A15" s="1" t="s">
        <v>1</v>
      </c>
      <c r="B15" s="85" t="s">
        <v>16</v>
      </c>
      <c r="C15" s="85"/>
      <c r="D15" s="85" t="s">
        <v>19</v>
      </c>
      <c r="E15" s="85"/>
      <c r="F15" s="35"/>
    </row>
    <row r="16" spans="1:6" ht="15.6" x14ac:dyDescent="0.3">
      <c r="A16" s="1" t="s">
        <v>2</v>
      </c>
      <c r="B16" s="85" t="s">
        <v>17</v>
      </c>
      <c r="C16" s="85"/>
      <c r="D16" s="85" t="s">
        <v>19</v>
      </c>
      <c r="E16" s="85"/>
      <c r="F16" s="35"/>
    </row>
    <row r="17" spans="1:6" ht="15.6" x14ac:dyDescent="0.3">
      <c r="A17" s="1" t="s">
        <v>3</v>
      </c>
      <c r="B17" s="85" t="s">
        <v>18</v>
      </c>
      <c r="C17" s="85"/>
      <c r="D17" s="85" t="s">
        <v>20</v>
      </c>
      <c r="E17" s="85"/>
      <c r="F17" s="35"/>
    </row>
    <row r="21" spans="1:6" ht="21" customHeight="1" x14ac:dyDescent="0.3">
      <c r="A21" s="3" t="s">
        <v>4</v>
      </c>
      <c r="B21" s="37" t="s">
        <v>0</v>
      </c>
      <c r="C21" s="37" t="s">
        <v>1</v>
      </c>
      <c r="D21" s="37" t="s">
        <v>2</v>
      </c>
      <c r="E21" s="37" t="s">
        <v>3</v>
      </c>
    </row>
    <row r="22" spans="1:6" ht="15.6" x14ac:dyDescent="0.3">
      <c r="A22" s="1" t="s">
        <v>59</v>
      </c>
      <c r="B22" s="2">
        <f>advertising_Dataset!B202</f>
        <v>200</v>
      </c>
      <c r="C22" s="2">
        <f>advertising_Dataset!C202</f>
        <v>200</v>
      </c>
      <c r="D22" s="2">
        <f>advertising_Dataset!D202</f>
        <v>200</v>
      </c>
      <c r="E22" s="2">
        <f>advertising_Dataset!E202</f>
        <v>200</v>
      </c>
    </row>
    <row r="23" spans="1:6" ht="15.6" x14ac:dyDescent="0.3">
      <c r="A23" s="1" t="s">
        <v>58</v>
      </c>
      <c r="B23" s="2">
        <f>advertising_Dataset!B203</f>
        <v>0</v>
      </c>
      <c r="C23" s="2">
        <f>advertising_Dataset!C203</f>
        <v>0</v>
      </c>
      <c r="D23" s="2">
        <f>advertising_Dataset!D203</f>
        <v>0</v>
      </c>
      <c r="E23" s="2">
        <f>advertising_Dataset!E203</f>
        <v>0</v>
      </c>
    </row>
    <row r="26" spans="1:6" ht="25.8" customHeight="1" x14ac:dyDescent="0.3">
      <c r="A26" s="1" t="s">
        <v>6</v>
      </c>
      <c r="B26" s="37" t="s">
        <v>60</v>
      </c>
      <c r="C26" s="37" t="s">
        <v>61</v>
      </c>
      <c r="D26" s="37" t="s">
        <v>62</v>
      </c>
      <c r="E26" s="37" t="s">
        <v>63</v>
      </c>
      <c r="F26" s="37" t="s">
        <v>64</v>
      </c>
    </row>
    <row r="27" spans="1:6" ht="15.6" x14ac:dyDescent="0.3">
      <c r="A27" s="1" t="s">
        <v>0</v>
      </c>
      <c r="B27" s="2">
        <f>_xlfn.QUARTILE.INC(advertising_Dataset!$B2:$B$201,1)</f>
        <v>74.375</v>
      </c>
      <c r="C27" s="2">
        <f>_xlfn.QUARTILE.INC(advertising_Dataset!$B2:$B$201,3)</f>
        <v>218.82499999999999</v>
      </c>
      <c r="D27" s="2">
        <f>C27-B27</f>
        <v>144.44999999999999</v>
      </c>
      <c r="E27" s="2">
        <f>C27-(1.5*D27)</f>
        <v>2.1500000000000057</v>
      </c>
      <c r="F27" s="2">
        <f>B27+(1.5*D27)</f>
        <v>291.04999999999995</v>
      </c>
    </row>
    <row r="28" spans="1:6" ht="15.6" x14ac:dyDescent="0.3">
      <c r="A28" s="1" t="s">
        <v>1</v>
      </c>
      <c r="B28" s="2">
        <f>_xlfn.QUARTILE.INC(advertising_Dataset!$C$3:$C$202,1)</f>
        <v>9.9749999999999996</v>
      </c>
      <c r="C28" s="2">
        <f>_xlfn.QUARTILE.INC(advertising_Dataset!$C$3:$C$202,3)</f>
        <v>36.524999999999999</v>
      </c>
      <c r="D28" s="2">
        <f>C28-B28</f>
        <v>26.549999999999997</v>
      </c>
      <c r="E28" s="2">
        <f t="shared" ref="E28:E30" si="0">C28-(1.5*D28)</f>
        <v>-3.2999999999999972</v>
      </c>
      <c r="F28" s="2">
        <f t="shared" ref="F28:F30" si="1">B28+(1.5*D28)</f>
        <v>49.8</v>
      </c>
    </row>
    <row r="29" spans="1:6" ht="15.6" x14ac:dyDescent="0.3">
      <c r="A29" s="1" t="s">
        <v>2</v>
      </c>
      <c r="B29" s="2">
        <f>_xlfn.QUARTILE.INC(advertising_Dataset!$D$4:$D$203,1)</f>
        <v>12.55</v>
      </c>
      <c r="C29" s="2">
        <f>_xlfn.QUARTILE.INC(advertising_Dataset!$D$4:$D$203,3)</f>
        <v>44.5</v>
      </c>
      <c r="D29" s="2">
        <f>C29-B29</f>
        <v>31.95</v>
      </c>
      <c r="E29" s="2">
        <f t="shared" si="0"/>
        <v>-3.4249999999999972</v>
      </c>
      <c r="F29" s="2">
        <f t="shared" si="1"/>
        <v>60.474999999999994</v>
      </c>
    </row>
    <row r="30" spans="1:6" ht="15.6" x14ac:dyDescent="0.3">
      <c r="A30" s="1" t="s">
        <v>3</v>
      </c>
      <c r="B30" s="2">
        <f>_xlfn.QUARTILE.INC(advertising_Dataset!$E$5:$E$204,1)</f>
        <v>10.350000000000001</v>
      </c>
      <c r="C30" s="2">
        <f>_xlfn.QUARTILE.INC(advertising_Dataset!$E$5:$E$204,3)</f>
        <v>17.399999999999999</v>
      </c>
      <c r="D30" s="2">
        <f>C30-B30</f>
        <v>7.0499999999999972</v>
      </c>
      <c r="E30" s="2">
        <f t="shared" si="0"/>
        <v>6.8250000000000028</v>
      </c>
      <c r="F30" s="2">
        <f t="shared" si="1"/>
        <v>20.924999999999997</v>
      </c>
    </row>
    <row r="32" spans="1:6" ht="24" customHeight="1" x14ac:dyDescent="0.3">
      <c r="A32" s="61" t="s">
        <v>93</v>
      </c>
      <c r="B32" s="37" t="s">
        <v>59</v>
      </c>
    </row>
    <row r="33" spans="1:2" ht="15.6" x14ac:dyDescent="0.3">
      <c r="A33" s="1" t="s">
        <v>0</v>
      </c>
      <c r="B33" s="2">
        <f>COUNTIF(advertising_Dataset!B$2:B$201,"&lt;"&amp;$E27)+COUNTIF(advertising_Dataset!B$2:B$201,"&gt;"&amp;$F27)</f>
        <v>4</v>
      </c>
    </row>
    <row r="34" spans="1:2" ht="15.6" x14ac:dyDescent="0.3">
      <c r="A34" s="1" t="s">
        <v>1</v>
      </c>
      <c r="B34" s="2">
        <f>COUNTIF(advertising_Dataset!C$2:C$201,"&lt;"&amp;$E28)+COUNTIF(advertising_Dataset!C$2:C$201,"&gt;"&amp;$F28)</f>
        <v>0</v>
      </c>
    </row>
    <row r="35" spans="1:2" ht="15.6" x14ac:dyDescent="0.3">
      <c r="A35" s="1" t="s">
        <v>2</v>
      </c>
      <c r="B35" s="2">
        <f>COUNTIF(advertising_Dataset!D$2:D$201,"&lt;"&amp;$E29)+COUNTIF(advertising_Dataset!D$2:D$201,"&gt;"&amp;$F29)</f>
        <v>18</v>
      </c>
    </row>
    <row r="36" spans="1:2" ht="15.6" x14ac:dyDescent="0.3">
      <c r="A36" s="1" t="s">
        <v>3</v>
      </c>
      <c r="B36" s="2">
        <f>COUNTIF(advertising_Dataset!E$2:E$201,"&lt;"&amp;$E30)+COUNTIF(advertising_Dataset!E$2:E$201,"&gt;"&amp;$F30)</f>
        <v>36</v>
      </c>
    </row>
  </sheetData>
  <mergeCells count="10">
    <mergeCell ref="B17:C17"/>
    <mergeCell ref="D17:E17"/>
    <mergeCell ref="B13:C13"/>
    <mergeCell ref="B14:C14"/>
    <mergeCell ref="B15:C15"/>
    <mergeCell ref="B16:C16"/>
    <mergeCell ref="D13:E13"/>
    <mergeCell ref="D14:E14"/>
    <mergeCell ref="D15:E15"/>
    <mergeCell ref="D16:E1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3ACF-B4D1-444E-A863-3D4C664508E7}">
  <dimension ref="A1:I33"/>
  <sheetViews>
    <sheetView workbookViewId="0">
      <selection activeCell="B21" sqref="B21"/>
    </sheetView>
  </sheetViews>
  <sheetFormatPr defaultRowHeight="14.4" x14ac:dyDescent="0.3"/>
  <cols>
    <col min="1" max="1" width="17.21875" bestFit="1" customWidth="1"/>
    <col min="2" max="2" width="28.6640625" bestFit="1" customWidth="1"/>
    <col min="3" max="3" width="24.5546875" bestFit="1" customWidth="1"/>
    <col min="4" max="4" width="17" bestFit="1" customWidth="1"/>
    <col min="5" max="5" width="17.44140625" bestFit="1" customWidth="1"/>
    <col min="6" max="6" width="17" hidden="1" customWidth="1"/>
    <col min="7" max="9" width="13.5546875" hidden="1" customWidth="1"/>
    <col min="10" max="10" width="14.109375" customWidth="1"/>
    <col min="11" max="11" width="10.88671875" customWidth="1"/>
  </cols>
  <sheetData>
    <row r="1" spans="1:9" ht="21.6" customHeight="1" x14ac:dyDescent="0.3">
      <c r="A1" s="12" t="s">
        <v>4</v>
      </c>
      <c r="B1" s="7" t="s">
        <v>0</v>
      </c>
      <c r="C1" s="7" t="s">
        <v>1</v>
      </c>
      <c r="D1" s="7" t="s">
        <v>2</v>
      </c>
      <c r="F1" s="12" t="s">
        <v>4</v>
      </c>
      <c r="G1" s="7" t="s">
        <v>0</v>
      </c>
      <c r="H1" s="7" t="s">
        <v>1</v>
      </c>
      <c r="I1" s="7" t="s">
        <v>2</v>
      </c>
    </row>
    <row r="2" spans="1:9" ht="21" customHeight="1" x14ac:dyDescent="0.3">
      <c r="A2" s="4" t="s">
        <v>0</v>
      </c>
      <c r="B2" s="64">
        <f>_xlfn.COVARIANCE.S(advertising_Dataset!B2:B201,advertising_Dataset!B2:B201)</f>
        <v>7370.9498932160868</v>
      </c>
      <c r="C2" s="65">
        <f>_xlfn.COVARIANCE.S(advertising_Dataset!B2:B201,advertising_Dataset!C2:C201)</f>
        <v>66.186640703517668</v>
      </c>
      <c r="D2" s="65">
        <f>_xlfn.COVARIANCE.S(advertising_Dataset!B2:B201,advertising_Dataset!D2:D201)</f>
        <v>105.91945226130652</v>
      </c>
      <c r="F2" s="4" t="s">
        <v>0</v>
      </c>
      <c r="G2" s="10" t="s">
        <v>21</v>
      </c>
      <c r="H2" s="8" t="s">
        <v>22</v>
      </c>
      <c r="I2" s="8" t="s">
        <v>23</v>
      </c>
    </row>
    <row r="3" spans="1:9" ht="21" customHeight="1" x14ac:dyDescent="0.3">
      <c r="A3" s="4" t="s">
        <v>1</v>
      </c>
      <c r="B3" s="65">
        <f>_xlfn.COVARIANCE.S(advertising_Dataset!C2:C201,advertising_Dataset!B2:B201)</f>
        <v>66.186640703517668</v>
      </c>
      <c r="C3" s="65">
        <f>_xlfn.COVARIANCE.S(advertising_Dataset!C2:C201,advertising_Dataset!C2:C201)</f>
        <v>222.06498391959806</v>
      </c>
      <c r="D3" s="65">
        <f>_xlfn.COVARIANCE.S(advertising_Dataset!C2:C201,advertising_Dataset!D2:D201)</f>
        <v>115.44142311557792</v>
      </c>
      <c r="F3" s="4" t="s">
        <v>1</v>
      </c>
      <c r="G3" s="8" t="s">
        <v>24</v>
      </c>
      <c r="H3" s="9" t="s">
        <v>29</v>
      </c>
      <c r="I3" s="8" t="s">
        <v>25</v>
      </c>
    </row>
    <row r="4" spans="1:9" ht="21" customHeight="1" x14ac:dyDescent="0.3">
      <c r="A4" s="4" t="s">
        <v>2</v>
      </c>
      <c r="B4" s="65">
        <f>_xlfn.COVARIANCE.S(advertising_Dataset!D2:D201,advertising_Dataset!B2:B201)</f>
        <v>105.91945226130652</v>
      </c>
      <c r="C4" s="65">
        <f>_xlfn.COVARIANCE.S(advertising_Dataset!D2:D201,advertising_Dataset!C2:C201)</f>
        <v>115.44142311557792</v>
      </c>
      <c r="D4" s="65">
        <f>_xlfn.COVARIANCE.S(advertising_Dataset!D2:D201,advertising_Dataset!D2:D201)</f>
        <v>474.30832562814095</v>
      </c>
      <c r="F4" s="4" t="s">
        <v>2</v>
      </c>
      <c r="G4" s="8" t="s">
        <v>26</v>
      </c>
      <c r="H4" s="8" t="s">
        <v>27</v>
      </c>
      <c r="I4" s="9" t="s">
        <v>30</v>
      </c>
    </row>
    <row r="5" spans="1:9" x14ac:dyDescent="0.3">
      <c r="A5" s="5" t="s">
        <v>34</v>
      </c>
      <c r="B5" s="5"/>
      <c r="C5" s="5"/>
      <c r="D5" s="5"/>
      <c r="F5" s="87" t="s">
        <v>28</v>
      </c>
      <c r="G5" s="87"/>
      <c r="H5" s="87"/>
      <c r="I5" s="87"/>
    </row>
    <row r="6" spans="1:9" ht="15.6" x14ac:dyDescent="0.3">
      <c r="A6" s="12" t="s">
        <v>4</v>
      </c>
      <c r="B6" s="7" t="s">
        <v>35</v>
      </c>
      <c r="C6" s="7" t="s">
        <v>36</v>
      </c>
      <c r="D6" s="7" t="s">
        <v>37</v>
      </c>
      <c r="F6" s="88"/>
      <c r="G6" s="88"/>
      <c r="H6" s="88"/>
      <c r="I6" s="88"/>
    </row>
    <row r="7" spans="1:9" ht="18" x14ac:dyDescent="0.3">
      <c r="A7" s="4" t="s">
        <v>0</v>
      </c>
      <c r="B7" s="73">
        <v>-0.99982899999999997</v>
      </c>
      <c r="C7" s="73">
        <v>-1.8071E-2</v>
      </c>
      <c r="D7" s="73">
        <v>3.8059999999999999E-3</v>
      </c>
      <c r="F7" s="12" t="s">
        <v>4</v>
      </c>
      <c r="G7" s="7" t="s">
        <v>0</v>
      </c>
      <c r="H7" s="7" t="s">
        <v>1</v>
      </c>
      <c r="I7" s="18" t="s">
        <v>2</v>
      </c>
    </row>
    <row r="8" spans="1:9" ht="18" x14ac:dyDescent="0.3">
      <c r="A8" s="4" t="s">
        <v>1</v>
      </c>
      <c r="B8" s="73">
        <v>-1.0014E-2</v>
      </c>
      <c r="C8" s="73">
        <v>0.35736200000000001</v>
      </c>
      <c r="D8" s="73">
        <v>-0.93391199999999996</v>
      </c>
      <c r="F8" s="4" t="s">
        <v>0</v>
      </c>
      <c r="G8" s="10" t="s">
        <v>31</v>
      </c>
      <c r="H8" s="8" t="s">
        <v>22</v>
      </c>
      <c r="I8" s="19" t="s">
        <v>23</v>
      </c>
    </row>
    <row r="9" spans="1:9" ht="18" x14ac:dyDescent="0.3">
      <c r="A9" s="4" t="s">
        <v>2</v>
      </c>
      <c r="B9" s="73">
        <v>-1.5516E-2</v>
      </c>
      <c r="C9" s="73">
        <v>0.93379100000000004</v>
      </c>
      <c r="D9" s="73">
        <v>0.35748200000000002</v>
      </c>
      <c r="F9" s="4" t="s">
        <v>1</v>
      </c>
      <c r="G9" s="8" t="s">
        <v>24</v>
      </c>
      <c r="H9" s="9" t="s">
        <v>32</v>
      </c>
      <c r="I9" s="8" t="s">
        <v>25</v>
      </c>
    </row>
    <row r="10" spans="1:9" ht="15.6" x14ac:dyDescent="0.3">
      <c r="F10" s="4" t="s">
        <v>2</v>
      </c>
      <c r="G10" s="8" t="s">
        <v>26</v>
      </c>
      <c r="H10" s="8" t="s">
        <v>27</v>
      </c>
      <c r="I10" s="9" t="s">
        <v>33</v>
      </c>
    </row>
    <row r="11" spans="1:9" ht="15.6" x14ac:dyDescent="0.3">
      <c r="A11" s="72" t="s">
        <v>96</v>
      </c>
      <c r="B11" s="38" t="s">
        <v>52</v>
      </c>
      <c r="C11" s="38" t="s">
        <v>53</v>
      </c>
      <c r="D11" s="39" t="s">
        <v>96</v>
      </c>
      <c r="E11" s="39" t="s">
        <v>97</v>
      </c>
      <c r="F11" s="89" t="s">
        <v>38</v>
      </c>
      <c r="G11" s="89"/>
      <c r="H11" s="89"/>
      <c r="I11" s="89"/>
    </row>
    <row r="12" spans="1:9" ht="15.6" x14ac:dyDescent="0.3">
      <c r="A12" s="4" t="s">
        <v>35</v>
      </c>
      <c r="B12" s="66">
        <v>0.91420000000000001</v>
      </c>
      <c r="C12" s="66">
        <v>0.91420000000000001</v>
      </c>
      <c r="D12" s="4" t="s">
        <v>35</v>
      </c>
      <c r="E12" s="64">
        <v>7373.293377</v>
      </c>
      <c r="F12" s="12" t="s">
        <v>4</v>
      </c>
      <c r="G12" s="7" t="s">
        <v>0</v>
      </c>
      <c r="H12" s="7" t="s">
        <v>1</v>
      </c>
      <c r="I12" s="7" t="s">
        <v>2</v>
      </c>
    </row>
    <row r="13" spans="1:9" ht="15.6" x14ac:dyDescent="0.3">
      <c r="A13" s="4" t="s">
        <v>36</v>
      </c>
      <c r="B13" s="66">
        <v>6.4000000000000001E-2</v>
      </c>
      <c r="C13" s="66">
        <v>0.97809999999999997</v>
      </c>
      <c r="D13" s="4" t="s">
        <v>36</v>
      </c>
      <c r="E13" s="64">
        <v>516.07662600000003</v>
      </c>
      <c r="F13" s="4" t="s">
        <v>0</v>
      </c>
      <c r="G13" s="20" t="s">
        <v>39</v>
      </c>
      <c r="H13" s="8" t="s">
        <v>22</v>
      </c>
      <c r="I13" s="8" t="s">
        <v>23</v>
      </c>
    </row>
    <row r="14" spans="1:9" ht="15.6" x14ac:dyDescent="0.3">
      <c r="A14" s="4" t="s">
        <v>37</v>
      </c>
      <c r="B14" s="66">
        <v>2.1899999999999999E-2</v>
      </c>
      <c r="C14" s="66">
        <v>1</v>
      </c>
      <c r="D14" s="4" t="s">
        <v>37</v>
      </c>
      <c r="E14" s="64">
        <v>176.31595899999999</v>
      </c>
      <c r="F14" s="4" t="s">
        <v>1</v>
      </c>
      <c r="G14" s="8" t="s">
        <v>24</v>
      </c>
      <c r="H14" s="20" t="s">
        <v>40</v>
      </c>
      <c r="I14" s="8" t="s">
        <v>25</v>
      </c>
    </row>
    <row r="15" spans="1:9" ht="18" x14ac:dyDescent="0.35">
      <c r="A15" s="90" t="s">
        <v>48</v>
      </c>
      <c r="B15" s="90"/>
      <c r="C15" s="90"/>
      <c r="D15" s="90"/>
      <c r="E15" s="22"/>
      <c r="F15" s="4" t="s">
        <v>2</v>
      </c>
      <c r="G15" s="8" t="s">
        <v>26</v>
      </c>
      <c r="H15" s="8" t="s">
        <v>27</v>
      </c>
      <c r="I15" s="20" t="s">
        <v>41</v>
      </c>
    </row>
    <row r="16" spans="1:9" ht="15.6" x14ac:dyDescent="0.3">
      <c r="A16" s="23"/>
      <c r="B16" s="21"/>
      <c r="C16" s="21"/>
      <c r="D16" s="23"/>
      <c r="E16" s="22"/>
      <c r="F16" s="20" t="s">
        <v>42</v>
      </c>
      <c r="G16" s="20" t="s">
        <v>43</v>
      </c>
      <c r="H16" s="20" t="s">
        <v>44</v>
      </c>
      <c r="I16" s="8"/>
    </row>
    <row r="17" spans="1:9" ht="15.6" x14ac:dyDescent="0.3">
      <c r="A17" s="23"/>
      <c r="B17" s="21"/>
      <c r="C17" s="21"/>
      <c r="F17" s="24"/>
      <c r="G17" s="8"/>
      <c r="H17" s="20"/>
      <c r="I17" s="8"/>
    </row>
    <row r="19" spans="1:9" ht="18" x14ac:dyDescent="0.35">
      <c r="A19" s="91" t="s">
        <v>49</v>
      </c>
      <c r="B19" s="91"/>
      <c r="C19" s="91"/>
      <c r="D19" s="91"/>
      <c r="F19" s="12" t="s">
        <v>99</v>
      </c>
      <c r="G19" s="7" t="s">
        <v>100</v>
      </c>
      <c r="H19" s="7" t="s">
        <v>101</v>
      </c>
      <c r="I19" s="7" t="s">
        <v>76</v>
      </c>
    </row>
    <row r="20" spans="1:9" ht="15.6" x14ac:dyDescent="0.3">
      <c r="A20" s="12" t="s">
        <v>4</v>
      </c>
      <c r="B20" s="7" t="s">
        <v>0</v>
      </c>
      <c r="C20" s="7" t="s">
        <v>1</v>
      </c>
      <c r="D20" s="7" t="s">
        <v>2</v>
      </c>
      <c r="F20" s="36">
        <v>-1.3436041101123381E-3</v>
      </c>
      <c r="G20" s="36">
        <v>0.18815191162793951</v>
      </c>
      <c r="H20" s="36">
        <v>4.5866458253036424E-2</v>
      </c>
      <c r="I20" s="36">
        <v>2.9501582523958803</v>
      </c>
    </row>
    <row r="21" spans="1:9" ht="15.6" x14ac:dyDescent="0.3">
      <c r="A21" s="4" t="s">
        <v>0</v>
      </c>
      <c r="B21" s="67">
        <f>CORREL(advertising_Dataset!F2:F201,advertising_Dataset!F2:F201)</f>
        <v>1</v>
      </c>
      <c r="C21" s="68">
        <f>CORREL(advertising_Dataset!F2:F201,advertising_Dataset!G2:G201)</f>
        <v>5.1733107727336872E-2</v>
      </c>
      <c r="D21" s="68">
        <f>CORREL(advertising_Dataset!F2:F201,advertising_Dataset!H2:H201)</f>
        <v>5.6647874965057049E-2</v>
      </c>
      <c r="F21" s="36">
        <v>5.8583567931589104E-3</v>
      </c>
      <c r="G21" s="36">
        <v>8.5595344095389866E-3</v>
      </c>
      <c r="H21" s="36">
        <v>1.3907567902803424E-3</v>
      </c>
      <c r="I21" s="36">
        <v>0.31074516712882405</v>
      </c>
    </row>
    <row r="22" spans="1:9" ht="15.6" x14ac:dyDescent="0.3">
      <c r="A22" s="4" t="s">
        <v>1</v>
      </c>
      <c r="B22" s="68">
        <f>CORREL(advertising_Dataset!G2:G201,advertising_Dataset!F2:F201)</f>
        <v>5.1733107727336872E-2</v>
      </c>
      <c r="C22" s="67">
        <f>CORREL(advertising_Dataset!G2:G201,advertising_Dataset!G2:G201)</f>
        <v>1</v>
      </c>
      <c r="D22" s="68">
        <f>CORREL(advertising_Dataset!G2:G201,advertising_Dataset!H2:H201)</f>
        <v>0.35570605383505488</v>
      </c>
      <c r="F22" s="36">
        <v>0.89779538652343172</v>
      </c>
      <c r="G22" s="36">
        <v>1.6807092680072402</v>
      </c>
      <c r="H22" s="36">
        <v>0</v>
      </c>
      <c r="I22" s="36">
        <v>0</v>
      </c>
    </row>
    <row r="23" spans="1:9" ht="15.6" x14ac:dyDescent="0.3">
      <c r="A23" s="4" t="s">
        <v>2</v>
      </c>
      <c r="B23" s="68">
        <f>CORREL(advertising_Dataset!H2:H201,advertising_Dataset!F2:F201)</f>
        <v>5.6647874965057049E-2</v>
      </c>
      <c r="C23" s="68">
        <f>CORREL(advertising_Dataset!H2:H201,advertising_Dataset!G2:G201)</f>
        <v>0.35570605383505488</v>
      </c>
      <c r="D23" s="67">
        <f>CORREL(advertising_Dataset!H2:H201,advertising_Dataset!H2:H201)</f>
        <v>1.0000000000000002</v>
      </c>
      <c r="F23" s="36">
        <v>573.90721668657181</v>
      </c>
      <c r="G23" s="36">
        <v>196</v>
      </c>
      <c r="H23" s="36">
        <v>0</v>
      </c>
      <c r="I23" s="36">
        <v>0</v>
      </c>
    </row>
    <row r="24" spans="1:9" x14ac:dyDescent="0.3">
      <c r="F24" s="36">
        <v>4863.491155861173</v>
      </c>
      <c r="G24" s="36">
        <v>553.65759413882495</v>
      </c>
      <c r="H24" s="36">
        <v>0</v>
      </c>
      <c r="I24" s="36">
        <v>0</v>
      </c>
    </row>
    <row r="25" spans="1:9" ht="15.6" x14ac:dyDescent="0.3">
      <c r="A25" s="72" t="s">
        <v>96</v>
      </c>
      <c r="B25" s="40" t="s">
        <v>52</v>
      </c>
      <c r="C25" s="40" t="s">
        <v>53</v>
      </c>
      <c r="D25" s="41" t="s">
        <v>96</v>
      </c>
      <c r="E25" s="41" t="s">
        <v>54</v>
      </c>
    </row>
    <row r="26" spans="1:9" ht="15.6" x14ac:dyDescent="0.3">
      <c r="A26" s="4" t="s">
        <v>35</v>
      </c>
      <c r="B26" s="66">
        <v>0.45700000000000002</v>
      </c>
      <c r="C26" s="69">
        <v>0.45700000000000002</v>
      </c>
      <c r="D26" s="4" t="s">
        <v>35</v>
      </c>
      <c r="E26" s="65">
        <v>1.3708530000000001</v>
      </c>
    </row>
    <row r="27" spans="1:9" ht="15.6" x14ac:dyDescent="0.3">
      <c r="A27" s="4" t="s">
        <v>36</v>
      </c>
      <c r="B27" s="66">
        <v>0.32779999999999998</v>
      </c>
      <c r="C27" s="69">
        <v>0.78469999999999995</v>
      </c>
      <c r="D27" s="4" t="s">
        <v>36</v>
      </c>
      <c r="E27" s="65">
        <v>0.98325600000000002</v>
      </c>
    </row>
    <row r="28" spans="1:9" ht="15.6" x14ac:dyDescent="0.3">
      <c r="A28" s="4" t="s">
        <v>37</v>
      </c>
      <c r="B28" s="66">
        <v>0.21529999999999999</v>
      </c>
      <c r="C28" s="69">
        <v>1</v>
      </c>
      <c r="D28" s="4" t="s">
        <v>37</v>
      </c>
      <c r="E28" s="65">
        <v>0.64589099999999999</v>
      </c>
    </row>
    <row r="29" spans="1:9" ht="15.6" x14ac:dyDescent="0.3">
      <c r="D29" s="4" t="s">
        <v>57</v>
      </c>
      <c r="E29" s="16">
        <f>SUM(E26:E28)</f>
        <v>3</v>
      </c>
    </row>
    <row r="30" spans="1:9" ht="15.6" x14ac:dyDescent="0.3">
      <c r="A30" s="72" t="s">
        <v>98</v>
      </c>
      <c r="B30" s="42" t="s">
        <v>55</v>
      </c>
      <c r="C30" s="42" t="s">
        <v>56</v>
      </c>
      <c r="D30" s="30"/>
    </row>
    <row r="31" spans="1:9" ht="18" x14ac:dyDescent="0.3">
      <c r="A31" s="71" t="s">
        <v>35</v>
      </c>
      <c r="B31" s="70">
        <f>E26/$E$29</f>
        <v>0.45695100000000005</v>
      </c>
      <c r="C31" s="66">
        <f>B26</f>
        <v>0.45700000000000002</v>
      </c>
      <c r="D31" s="28"/>
      <c r="E31" s="27"/>
    </row>
    <row r="32" spans="1:9" ht="18" x14ac:dyDescent="0.3">
      <c r="A32" s="71" t="s">
        <v>36</v>
      </c>
      <c r="B32" s="70">
        <f t="shared" ref="B32:B33" si="0">E27/$E$29</f>
        <v>0.32775199999999999</v>
      </c>
      <c r="C32" s="66">
        <f>C26+B27</f>
        <v>0.78479999999999994</v>
      </c>
      <c r="D32" s="28"/>
      <c r="E32" s="26"/>
      <c r="F32" s="25" t="s">
        <v>50</v>
      </c>
      <c r="G32" s="14">
        <f>B26+B27</f>
        <v>0.78479999999999994</v>
      </c>
    </row>
    <row r="33" spans="1:7" ht="18" x14ac:dyDescent="0.3">
      <c r="A33" s="71" t="s">
        <v>37</v>
      </c>
      <c r="B33" s="70">
        <f t="shared" si="0"/>
        <v>0.21529699999999999</v>
      </c>
      <c r="C33" s="66">
        <f>C27+B28</f>
        <v>1</v>
      </c>
      <c r="D33" s="29"/>
      <c r="E33" s="26"/>
      <c r="F33" t="s">
        <v>51</v>
      </c>
      <c r="G33">
        <f>200-1</f>
        <v>199</v>
      </c>
    </row>
  </sheetData>
  <mergeCells count="4">
    <mergeCell ref="F5:I6"/>
    <mergeCell ref="F11:I11"/>
    <mergeCell ref="A15:D15"/>
    <mergeCell ref="A19:D19"/>
  </mergeCells>
  <conditionalFormatting sqref="A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A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:A14 A16:A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14">
      <colorScale>
        <cfvo type="min"/>
        <cfvo type="percentile" val="50"/>
        <cfvo type="max"/>
        <color rgb="FFFF0000"/>
        <color rgb="FFFFEB84"/>
        <color rgb="FF63BE7B"/>
      </colorScale>
    </cfRule>
  </conditionalFormatting>
  <conditionalFormatting sqref="A21:A2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:A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D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D4 B1:D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:D23 F3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D20 F3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D14 D1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D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D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5:H15 G12:I12 F13 H13:I13 F14:G14 F17:G17 I14 I16:I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I1 F4:H4 F2 H2:I2 F3:G3 I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I7 F10:H10 F8 H8:I8 F9:G9 I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:I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C49D-ED71-4268-8061-DAA54AFAF4AE}">
  <dimension ref="A1:I226"/>
  <sheetViews>
    <sheetView zoomScale="92" workbookViewId="0">
      <selection activeCell="E5" sqref="E5"/>
    </sheetView>
  </sheetViews>
  <sheetFormatPr defaultRowHeight="14.4" x14ac:dyDescent="0.3"/>
  <cols>
    <col min="1" max="1" width="18.77734375" bestFit="1" customWidth="1"/>
    <col min="2" max="3" width="18" bestFit="1" customWidth="1"/>
    <col min="4" max="5" width="13.44140625" bestFit="1" customWidth="1"/>
    <col min="6" max="6" width="19" bestFit="1" customWidth="1"/>
    <col min="7" max="7" width="13.44140625" customWidth="1"/>
    <col min="8" max="9" width="15.44140625" bestFit="1" customWidth="1"/>
  </cols>
  <sheetData>
    <row r="1" spans="1:9" ht="15.6" x14ac:dyDescent="0.3">
      <c r="A1" s="1" t="s">
        <v>6</v>
      </c>
      <c r="B1" s="51" t="s">
        <v>0</v>
      </c>
      <c r="C1" s="51" t="s">
        <v>1</v>
      </c>
      <c r="D1" s="51" t="s">
        <v>2</v>
      </c>
      <c r="E1" s="52" t="s">
        <v>3</v>
      </c>
      <c r="F1" s="92" t="s">
        <v>65</v>
      </c>
      <c r="G1" s="92"/>
    </row>
    <row r="2" spans="1:9" ht="15.6" x14ac:dyDescent="0.3">
      <c r="A2" s="1" t="s">
        <v>0</v>
      </c>
      <c r="B2" s="3">
        <v>1</v>
      </c>
      <c r="C2" s="6">
        <v>5.1733107727336872E-2</v>
      </c>
      <c r="D2" s="36">
        <v>5.6647874965057049E-2</v>
      </c>
      <c r="E2" s="59">
        <f>CORREL(advertising_Dataset!B2:B201,advertising_Dataset!E2:E201)</f>
        <v>0.78222442486160615</v>
      </c>
      <c r="F2" s="92"/>
      <c r="G2" s="92"/>
    </row>
    <row r="3" spans="1:9" ht="24" customHeight="1" x14ac:dyDescent="0.3">
      <c r="A3" s="1" t="s">
        <v>1</v>
      </c>
      <c r="B3" s="6">
        <v>5.1733107727336872E-2</v>
      </c>
      <c r="C3" s="3">
        <v>1</v>
      </c>
      <c r="D3" s="36">
        <v>0.35570605383505488</v>
      </c>
      <c r="E3" s="59">
        <f>CORREL(advertising_Dataset!C2:C201,advertising_Dataset!E2:E201)</f>
        <v>0.57444046499554979</v>
      </c>
      <c r="F3" s="45" t="s">
        <v>66</v>
      </c>
      <c r="G3" s="45"/>
    </row>
    <row r="4" spans="1:9" ht="15.6" x14ac:dyDescent="0.3">
      <c r="A4" s="1" t="s">
        <v>2</v>
      </c>
      <c r="B4" s="36">
        <v>5.6647874965057049E-2</v>
      </c>
      <c r="C4" s="36">
        <v>0.35570605383505488</v>
      </c>
      <c r="D4" s="3">
        <v>1.0000000000000002</v>
      </c>
      <c r="E4" s="59">
        <f>CORREL(advertising_Dataset!C2:C201,advertising_Dataset!E2:E201)</f>
        <v>0.57444046499554979</v>
      </c>
      <c r="F4" s="43" t="s">
        <v>67</v>
      </c>
      <c r="G4" s="8">
        <v>0.94752065229388627</v>
      </c>
    </row>
    <row r="5" spans="1:9" ht="15.6" x14ac:dyDescent="0.3">
      <c r="A5" s="1" t="s">
        <v>3</v>
      </c>
      <c r="B5" s="36">
        <f>CORREL(advertising_Dataset!$E$2:$E$201,advertising_Dataset!B$2:B$201)</f>
        <v>0.78222442486160615</v>
      </c>
      <c r="C5" s="36">
        <f>CORREL(advertising_Dataset!$E$2:$E$201,advertising_Dataset!C$2:C$201)</f>
        <v>0.57444046499554979</v>
      </c>
      <c r="D5" s="36">
        <f>CORREL(advertising_Dataset!$E$2:$E$201,advertising_Dataset!D$2:D$201)</f>
        <v>0.22829902637616525</v>
      </c>
      <c r="E5" s="60">
        <f>CORREL(advertising_Dataset!$E$2:$E$201,advertising_Dataset!$E$2:$E$201)</f>
        <v>1</v>
      </c>
      <c r="F5" s="43" t="s">
        <v>68</v>
      </c>
      <c r="G5" s="8">
        <v>0.89779538652343172</v>
      </c>
    </row>
    <row r="6" spans="1:9" x14ac:dyDescent="0.3">
      <c r="F6" s="43" t="s">
        <v>69</v>
      </c>
      <c r="G6" s="8">
        <v>0.89623103019470862</v>
      </c>
    </row>
    <row r="7" spans="1:9" ht="20.399999999999999" customHeight="1" x14ac:dyDescent="0.3">
      <c r="A7" s="58" t="s">
        <v>70</v>
      </c>
      <c r="B7" s="43">
        <v>1.6807092680072402</v>
      </c>
    </row>
    <row r="8" spans="1:9" ht="20.399999999999999" customHeight="1" x14ac:dyDescent="0.3">
      <c r="A8" s="58" t="s">
        <v>71</v>
      </c>
      <c r="B8" s="43">
        <v>200</v>
      </c>
    </row>
    <row r="10" spans="1:9" ht="15.6" x14ac:dyDescent="0.3">
      <c r="A10" s="57" t="s">
        <v>72</v>
      </c>
    </row>
    <row r="11" spans="1:9" ht="18" x14ac:dyDescent="0.3">
      <c r="A11" s="46"/>
      <c r="B11" s="53" t="s">
        <v>77</v>
      </c>
      <c r="C11" s="53" t="s">
        <v>78</v>
      </c>
      <c r="D11" s="53" t="s">
        <v>79</v>
      </c>
      <c r="E11" s="53" t="s">
        <v>80</v>
      </c>
      <c r="F11" s="53" t="s">
        <v>81</v>
      </c>
    </row>
    <row r="12" spans="1:9" x14ac:dyDescent="0.3">
      <c r="A12" s="50" t="s">
        <v>73</v>
      </c>
      <c r="B12" s="43">
        <v>3</v>
      </c>
      <c r="C12" s="8">
        <v>4863.491155861173</v>
      </c>
      <c r="D12" s="8">
        <v>1621.1637186203909</v>
      </c>
      <c r="E12" s="8">
        <v>573.90721668657181</v>
      </c>
      <c r="F12" s="63">
        <v>9.0088942107317909E-97</v>
      </c>
    </row>
    <row r="13" spans="1:9" x14ac:dyDescent="0.3">
      <c r="A13" s="50" t="s">
        <v>74</v>
      </c>
      <c r="B13" s="43">
        <v>196</v>
      </c>
      <c r="C13" s="8">
        <v>553.65759413882495</v>
      </c>
      <c r="D13" s="8">
        <v>2.8247836435654334</v>
      </c>
      <c r="E13" s="8"/>
      <c r="F13" s="43"/>
    </row>
    <row r="14" spans="1:9" x14ac:dyDescent="0.3">
      <c r="A14" s="50" t="s">
        <v>75</v>
      </c>
      <c r="B14" s="43">
        <v>199</v>
      </c>
      <c r="C14" s="8">
        <v>5417.1487499999976</v>
      </c>
      <c r="D14" s="8"/>
      <c r="E14" s="8"/>
      <c r="F14" s="43"/>
    </row>
    <row r="16" spans="1:9" ht="19.8" customHeight="1" x14ac:dyDescent="0.3">
      <c r="A16" s="56"/>
      <c r="B16" s="54" t="s">
        <v>82</v>
      </c>
      <c r="C16" s="49" t="s">
        <v>70</v>
      </c>
      <c r="D16" s="49" t="s">
        <v>83</v>
      </c>
      <c r="E16" s="49" t="s">
        <v>84</v>
      </c>
      <c r="F16" s="49" t="s">
        <v>85</v>
      </c>
      <c r="G16" s="49" t="s">
        <v>86</v>
      </c>
      <c r="H16" s="49" t="s">
        <v>87</v>
      </c>
      <c r="I16" s="49" t="s">
        <v>88</v>
      </c>
    </row>
    <row r="17" spans="1:9" x14ac:dyDescent="0.3">
      <c r="A17" s="55" t="s">
        <v>76</v>
      </c>
      <c r="B17" s="8">
        <v>2.9501582523958803</v>
      </c>
      <c r="C17" s="8">
        <v>0.31074516712882405</v>
      </c>
      <c r="D17" s="8">
        <v>9.4938186156016648</v>
      </c>
      <c r="E17" s="74">
        <v>7.9241166594143627E-18</v>
      </c>
      <c r="F17" s="8">
        <v>2.3373248988688662</v>
      </c>
      <c r="G17" s="8">
        <v>3.5629916059228943</v>
      </c>
      <c r="H17" s="8">
        <v>2.3373248988688662</v>
      </c>
      <c r="I17" s="8">
        <v>3.5629916059228943</v>
      </c>
    </row>
    <row r="18" spans="1:9" x14ac:dyDescent="0.3">
      <c r="A18" s="50" t="s">
        <v>0</v>
      </c>
      <c r="B18" s="8">
        <v>4.5866458253036424E-2</v>
      </c>
      <c r="C18" s="8">
        <v>1.3907567902803424E-3</v>
      </c>
      <c r="D18" s="8">
        <v>32.979496180486649</v>
      </c>
      <c r="E18" s="74">
        <v>6.3717999966298052E-82</v>
      </c>
      <c r="F18" s="8">
        <v>4.3123689457618172E-2</v>
      </c>
      <c r="G18" s="8">
        <v>4.8609227048454676E-2</v>
      </c>
      <c r="H18" s="8">
        <v>4.3123689457618172E-2</v>
      </c>
      <c r="I18" s="8">
        <v>4.8609227048454676E-2</v>
      </c>
    </row>
    <row r="19" spans="1:9" x14ac:dyDescent="0.3">
      <c r="A19" s="50" t="s">
        <v>1</v>
      </c>
      <c r="B19" s="8">
        <v>0.18815191162793951</v>
      </c>
      <c r="C19" s="8">
        <v>8.5595344095389866E-3</v>
      </c>
      <c r="D19" s="8">
        <v>21.981559115909121</v>
      </c>
      <c r="E19" s="74">
        <v>8.5965705398711335E-55</v>
      </c>
      <c r="F19" s="8">
        <v>0.17127130098065302</v>
      </c>
      <c r="G19" s="8">
        <v>0.205032522275226</v>
      </c>
      <c r="H19" s="8">
        <v>0.17127130098065302</v>
      </c>
      <c r="I19" s="8">
        <v>0.205032522275226</v>
      </c>
    </row>
    <row r="20" spans="1:9" x14ac:dyDescent="0.3">
      <c r="A20" s="50" t="s">
        <v>2</v>
      </c>
      <c r="B20" s="8">
        <v>-1.3436041101123381E-3</v>
      </c>
      <c r="C20" s="8">
        <v>5.8583567931589104E-3</v>
      </c>
      <c r="D20" s="8">
        <v>-0.22934828955473149</v>
      </c>
      <c r="E20" s="74">
        <v>0.8188373744701305</v>
      </c>
      <c r="F20" s="8">
        <v>-1.2897111033104867E-2</v>
      </c>
      <c r="G20" s="8">
        <v>1.0209902812880192E-2</v>
      </c>
      <c r="H20" s="8">
        <v>-1.2897111033104867E-2</v>
      </c>
      <c r="I20" s="8">
        <v>1.0209902812880192E-2</v>
      </c>
    </row>
    <row r="21" spans="1:9" x14ac:dyDescent="0.3">
      <c r="B21" s="13"/>
      <c r="C21" s="13"/>
      <c r="D21" s="13"/>
      <c r="E21" s="13"/>
      <c r="F21" s="13"/>
      <c r="G21" s="13"/>
      <c r="H21" s="13"/>
      <c r="I21" s="13"/>
    </row>
    <row r="24" spans="1:9" ht="15.6" x14ac:dyDescent="0.3">
      <c r="A24" s="48" t="s">
        <v>89</v>
      </c>
    </row>
    <row r="26" spans="1:9" ht="24.6" customHeight="1" x14ac:dyDescent="0.3">
      <c r="A26" s="47" t="s">
        <v>90</v>
      </c>
      <c r="B26" s="77" t="s">
        <v>91</v>
      </c>
      <c r="C26" s="77" t="s">
        <v>92</v>
      </c>
    </row>
    <row r="27" spans="1:9" x14ac:dyDescent="0.3">
      <c r="A27" s="43">
        <v>1</v>
      </c>
      <c r="B27" s="75">
        <v>20.523195151535901</v>
      </c>
      <c r="C27" s="75">
        <v>1.5768048484641</v>
      </c>
    </row>
    <row r="28" spans="1:9" x14ac:dyDescent="0.3">
      <c r="A28" s="43">
        <v>2</v>
      </c>
      <c r="B28" s="75">
        <v>12.324989226267956</v>
      </c>
      <c r="C28" s="75">
        <v>-1.9249892262679555</v>
      </c>
    </row>
    <row r="29" spans="1:9" x14ac:dyDescent="0.3">
      <c r="A29" s="43">
        <v>3</v>
      </c>
      <c r="B29" s="75">
        <v>12.282122313239745</v>
      </c>
      <c r="C29" s="75">
        <v>-2.9821223132397439</v>
      </c>
    </row>
    <row r="30" spans="1:9" x14ac:dyDescent="0.3">
      <c r="A30" s="43">
        <v>4</v>
      </c>
      <c r="B30" s="75">
        <v>17.590999787523227</v>
      </c>
      <c r="C30" s="75">
        <v>0.90900021247677287</v>
      </c>
    </row>
    <row r="31" spans="1:9" x14ac:dyDescent="0.3">
      <c r="A31" s="43">
        <v>5</v>
      </c>
      <c r="B31" s="75">
        <v>13.196388070096052</v>
      </c>
      <c r="C31" s="75">
        <v>-0.29638807009605195</v>
      </c>
    </row>
    <row r="32" spans="1:9" x14ac:dyDescent="0.3">
      <c r="A32" s="43">
        <v>6</v>
      </c>
      <c r="B32" s="75">
        <v>12.449054609545115</v>
      </c>
      <c r="C32" s="75">
        <v>-5.2490546095451149</v>
      </c>
    </row>
    <row r="33" spans="1:3" x14ac:dyDescent="0.3">
      <c r="A33" s="43">
        <v>7</v>
      </c>
      <c r="B33" s="75">
        <v>11.727287606754249</v>
      </c>
      <c r="C33" s="75">
        <v>7.2712393245751628E-2</v>
      </c>
    </row>
    <row r="34" spans="1:3" x14ac:dyDescent="0.3">
      <c r="A34" s="43">
        <v>8</v>
      </c>
      <c r="B34" s="75">
        <v>12.135498194641171</v>
      </c>
      <c r="C34" s="75">
        <v>1.0645018053588284</v>
      </c>
    </row>
    <row r="35" spans="1:3" x14ac:dyDescent="0.3">
      <c r="A35" s="43">
        <v>9</v>
      </c>
      <c r="B35" s="75">
        <v>3.7383852036805543</v>
      </c>
      <c r="C35" s="75">
        <v>1.0616147963194456</v>
      </c>
    </row>
    <row r="36" spans="1:3" x14ac:dyDescent="0.3">
      <c r="A36" s="43">
        <v>10</v>
      </c>
      <c r="B36" s="75">
        <v>12.574987174450818</v>
      </c>
      <c r="C36" s="75">
        <v>-1.9749871744508187</v>
      </c>
    </row>
    <row r="37" spans="1:3" x14ac:dyDescent="0.3">
      <c r="A37" s="43">
        <v>11</v>
      </c>
      <c r="B37" s="75">
        <v>7.0406970108989189</v>
      </c>
      <c r="C37" s="75">
        <v>1.5593029891010808</v>
      </c>
    </row>
    <row r="38" spans="1:3" x14ac:dyDescent="0.3">
      <c r="A38" s="43">
        <v>12</v>
      </c>
      <c r="B38" s="75">
        <v>17.307958301952898</v>
      </c>
      <c r="C38" s="75">
        <v>9.204169804710105E-2</v>
      </c>
    </row>
    <row r="39" spans="1:3" x14ac:dyDescent="0.3">
      <c r="A39" s="43">
        <v>13</v>
      </c>
      <c r="B39" s="75">
        <v>10.55736854610242</v>
      </c>
      <c r="C39" s="75">
        <v>-1.3573685461024212</v>
      </c>
    </row>
    <row r="40" spans="1:3" x14ac:dyDescent="0.3">
      <c r="A40" s="43">
        <v>14</v>
      </c>
      <c r="B40" s="75">
        <v>8.8424185108464624</v>
      </c>
      <c r="C40" s="75">
        <v>0.85758148915353694</v>
      </c>
    </row>
    <row r="41" spans="1:3" x14ac:dyDescent="0.3">
      <c r="A41" s="43">
        <v>15</v>
      </c>
      <c r="B41" s="75">
        <v>18.439894485334655</v>
      </c>
      <c r="C41" s="75">
        <v>0.56010551466534508</v>
      </c>
    </row>
    <row r="42" spans="1:3" x14ac:dyDescent="0.3">
      <c r="A42" s="43">
        <v>16</v>
      </c>
      <c r="B42" s="75">
        <v>20.816233722266968</v>
      </c>
      <c r="C42" s="75">
        <v>1.5837662777330301</v>
      </c>
    </row>
    <row r="43" spans="1:3" x14ac:dyDescent="0.3">
      <c r="A43" s="43">
        <v>17</v>
      </c>
      <c r="B43" s="75">
        <v>12.793093218981529</v>
      </c>
      <c r="C43" s="75">
        <v>-0.29309321898152874</v>
      </c>
    </row>
    <row r="44" spans="1:3" x14ac:dyDescent="0.3">
      <c r="A44" s="43">
        <v>18</v>
      </c>
      <c r="B44" s="75">
        <v>23.23282219592247</v>
      </c>
      <c r="C44" s="75">
        <v>1.1671778040775287</v>
      </c>
    </row>
    <row r="45" spans="1:3" x14ac:dyDescent="0.3">
      <c r="A45" s="43">
        <v>19</v>
      </c>
      <c r="B45" s="75">
        <v>9.9566433966637042</v>
      </c>
      <c r="C45" s="75">
        <v>1.3433566033362965</v>
      </c>
    </row>
    <row r="46" spans="1:3" x14ac:dyDescent="0.3">
      <c r="A46" s="43">
        <v>20</v>
      </c>
      <c r="B46" s="75">
        <v>14.177455402472756</v>
      </c>
      <c r="C46" s="75">
        <v>0.42254459752724394</v>
      </c>
    </row>
    <row r="47" spans="1:3" x14ac:dyDescent="0.3">
      <c r="A47" s="43">
        <v>21</v>
      </c>
      <c r="B47" s="75">
        <v>18.107452227472962</v>
      </c>
      <c r="C47" s="75">
        <v>-0.10745222747296168</v>
      </c>
    </row>
    <row r="48" spans="1:3" x14ac:dyDescent="0.3">
      <c r="A48" s="43">
        <v>22</v>
      </c>
      <c r="B48" s="75">
        <v>14.766855494381579</v>
      </c>
      <c r="C48" s="75">
        <v>-2.2668554943815789</v>
      </c>
    </row>
    <row r="49" spans="1:3" x14ac:dyDescent="0.3">
      <c r="A49" s="43">
        <v>23</v>
      </c>
      <c r="B49" s="75">
        <v>6.4805681323586271</v>
      </c>
      <c r="C49" s="75">
        <v>-0.88056813235862741</v>
      </c>
    </row>
    <row r="50" spans="1:3" x14ac:dyDescent="0.3">
      <c r="A50" s="43">
        <v>24</v>
      </c>
      <c r="B50" s="75">
        <v>16.56603555039133</v>
      </c>
      <c r="C50" s="75">
        <v>-1.0660355503913301</v>
      </c>
    </row>
    <row r="51" spans="1:3" x14ac:dyDescent="0.3">
      <c r="A51" s="43">
        <v>25</v>
      </c>
      <c r="B51" s="75">
        <v>8.1537647328570309</v>
      </c>
      <c r="C51" s="75">
        <v>1.5462352671429684</v>
      </c>
    </row>
    <row r="52" spans="1:3" x14ac:dyDescent="0.3">
      <c r="A52" s="43">
        <v>26</v>
      </c>
      <c r="B52" s="75">
        <v>15.640781537669755</v>
      </c>
      <c r="C52" s="75">
        <v>-3.6407815376697545</v>
      </c>
    </row>
    <row r="53" spans="1:3" x14ac:dyDescent="0.3">
      <c r="A53" s="43">
        <v>27</v>
      </c>
      <c r="B53" s="75">
        <v>15.000396735665998</v>
      </c>
      <c r="C53" s="75">
        <v>-3.9673566599773835E-4</v>
      </c>
    </row>
    <row r="54" spans="1:3" x14ac:dyDescent="0.3">
      <c r="A54" s="43">
        <v>28</v>
      </c>
      <c r="B54" s="75">
        <v>17.074063269014943</v>
      </c>
      <c r="C54" s="75">
        <v>-1.1740632690149422</v>
      </c>
    </row>
    <row r="55" spans="1:3" x14ac:dyDescent="0.3">
      <c r="A55" s="43">
        <v>29</v>
      </c>
      <c r="B55" s="75">
        <v>19.429881336746931</v>
      </c>
      <c r="C55" s="75">
        <v>-0.52988133674693216</v>
      </c>
    </row>
    <row r="56" spans="1:3" x14ac:dyDescent="0.3">
      <c r="A56" s="43">
        <v>30</v>
      </c>
      <c r="B56" s="75">
        <v>9.1439417434147003</v>
      </c>
      <c r="C56" s="75">
        <v>1.3560582565852997</v>
      </c>
    </row>
    <row r="57" spans="1:3" x14ac:dyDescent="0.3">
      <c r="A57" s="43">
        <v>31</v>
      </c>
      <c r="B57" s="75">
        <v>21.651099276224084</v>
      </c>
      <c r="C57" s="75">
        <v>-0.25109927622408534</v>
      </c>
    </row>
    <row r="58" spans="1:3" x14ac:dyDescent="0.3">
      <c r="A58" s="43">
        <v>32</v>
      </c>
      <c r="B58" s="75">
        <v>11.350461532839503</v>
      </c>
      <c r="C58" s="75">
        <v>0.54953846716049704</v>
      </c>
    </row>
    <row r="59" spans="1:3" x14ac:dyDescent="0.3">
      <c r="A59" s="43">
        <v>33</v>
      </c>
      <c r="B59" s="75">
        <v>7.6502977387295603</v>
      </c>
      <c r="C59" s="75">
        <v>1.9497022612704393</v>
      </c>
    </row>
    <row r="60" spans="1:3" x14ac:dyDescent="0.3">
      <c r="A60" s="43">
        <v>34</v>
      </c>
      <c r="B60" s="75">
        <v>18.894924715728113</v>
      </c>
      <c r="C60" s="75">
        <v>-1.4949247157281143</v>
      </c>
    </row>
    <row r="61" spans="1:3" x14ac:dyDescent="0.3">
      <c r="A61" s="43">
        <v>35</v>
      </c>
      <c r="B61" s="75">
        <v>7.5930483130757507</v>
      </c>
      <c r="C61" s="75">
        <v>1.9069516869242493</v>
      </c>
    </row>
    <row r="62" spans="1:3" x14ac:dyDescent="0.3">
      <c r="A62" s="43">
        <v>36</v>
      </c>
      <c r="B62" s="75">
        <v>17.043539869292168</v>
      </c>
      <c r="C62" s="75">
        <v>-4.2435398692921673</v>
      </c>
    </row>
    <row r="63" spans="1:3" x14ac:dyDescent="0.3">
      <c r="A63" s="43">
        <v>37</v>
      </c>
      <c r="B63" s="75">
        <v>23.42625166888449</v>
      </c>
      <c r="C63" s="75">
        <v>1.9737483311155088</v>
      </c>
    </row>
    <row r="64" spans="1:3" x14ac:dyDescent="0.3">
      <c r="A64" s="43">
        <v>38</v>
      </c>
      <c r="B64" s="75">
        <v>15.609684410485778</v>
      </c>
      <c r="C64" s="75">
        <v>-0.90968441048577908</v>
      </c>
    </row>
    <row r="65" spans="1:3" x14ac:dyDescent="0.3">
      <c r="A65" s="43">
        <v>39</v>
      </c>
      <c r="B65" s="75">
        <v>9.9034981393027923</v>
      </c>
      <c r="C65" s="75">
        <v>0.19650186069720732</v>
      </c>
    </row>
    <row r="66" spans="1:3" x14ac:dyDescent="0.3">
      <c r="A66" s="43">
        <v>40</v>
      </c>
      <c r="B66" s="75">
        <v>20.458042470937908</v>
      </c>
      <c r="C66" s="75">
        <v>1.0419575290620919</v>
      </c>
    </row>
    <row r="67" spans="1:3" x14ac:dyDescent="0.3">
      <c r="A67" s="43">
        <v>41</v>
      </c>
      <c r="B67" s="75">
        <v>16.391445788059258</v>
      </c>
      <c r="C67" s="75">
        <v>0.20855421194074353</v>
      </c>
    </row>
    <row r="68" spans="1:3" x14ac:dyDescent="0.3">
      <c r="A68" s="43">
        <v>42</v>
      </c>
      <c r="B68" s="75">
        <v>17.300797732495159</v>
      </c>
      <c r="C68" s="75">
        <v>-0.20079773249515753</v>
      </c>
    </row>
    <row r="69" spans="1:3" x14ac:dyDescent="0.3">
      <c r="A69" s="43">
        <v>43</v>
      </c>
      <c r="B69" s="75">
        <v>21.625939860183099</v>
      </c>
      <c r="C69" s="75">
        <v>-0.92593986018309948</v>
      </c>
    </row>
    <row r="70" spans="1:3" x14ac:dyDescent="0.3">
      <c r="A70" s="43">
        <v>44</v>
      </c>
      <c r="B70" s="75">
        <v>13.984933374116842</v>
      </c>
      <c r="C70" s="75">
        <v>-1.0849333741168419</v>
      </c>
    </row>
    <row r="71" spans="1:3" x14ac:dyDescent="0.3">
      <c r="A71" s="43">
        <v>45</v>
      </c>
      <c r="B71" s="75">
        <v>8.8787324254172759</v>
      </c>
      <c r="C71" s="75">
        <v>-0.37873242541727592</v>
      </c>
    </row>
    <row r="72" spans="1:3" x14ac:dyDescent="0.3">
      <c r="A72" s="43">
        <v>46</v>
      </c>
      <c r="B72" s="75">
        <v>15.172469574662658</v>
      </c>
      <c r="C72" s="75">
        <v>-0.27246957466265798</v>
      </c>
    </row>
    <row r="73" spans="1:3" x14ac:dyDescent="0.3">
      <c r="A73" s="43">
        <v>47</v>
      </c>
      <c r="B73" s="75">
        <v>8.8791168160788381</v>
      </c>
      <c r="C73" s="75">
        <v>1.7208831839211616</v>
      </c>
    </row>
    <row r="74" spans="1:3" x14ac:dyDescent="0.3">
      <c r="A74" s="43">
        <v>48</v>
      </c>
      <c r="B74" s="75">
        <v>21.736969243821729</v>
      </c>
      <c r="C74" s="75">
        <v>1.4630307561782701</v>
      </c>
    </row>
    <row r="75" spans="1:3" x14ac:dyDescent="0.3">
      <c r="A75" s="43">
        <v>49</v>
      </c>
      <c r="B75" s="75">
        <v>16.276771926112595</v>
      </c>
      <c r="C75" s="75">
        <v>-1.476771926112594</v>
      </c>
    </row>
    <row r="76" spans="1:3" x14ac:dyDescent="0.3">
      <c r="A76" s="43">
        <v>50</v>
      </c>
      <c r="B76" s="75">
        <v>8.1705570443187749</v>
      </c>
      <c r="C76" s="75">
        <v>1.5294429556812243</v>
      </c>
    </row>
    <row r="77" spans="1:3" x14ac:dyDescent="0.3">
      <c r="A77" s="43">
        <v>51</v>
      </c>
      <c r="B77" s="75">
        <v>12.651058835189284</v>
      </c>
      <c r="C77" s="75">
        <v>-1.2510588351892835</v>
      </c>
    </row>
    <row r="78" spans="1:3" x14ac:dyDescent="0.3">
      <c r="A78" s="43">
        <v>52</v>
      </c>
      <c r="B78" s="75">
        <v>9.3565720378325512</v>
      </c>
      <c r="C78" s="75">
        <v>1.3434279621674481</v>
      </c>
    </row>
    <row r="79" spans="1:3" x14ac:dyDescent="0.3">
      <c r="A79" s="43">
        <v>53</v>
      </c>
      <c r="B79" s="75">
        <v>20.66838781047759</v>
      </c>
      <c r="C79" s="75">
        <v>1.9316121895224114</v>
      </c>
    </row>
    <row r="80" spans="1:3" x14ac:dyDescent="0.3">
      <c r="A80" s="43">
        <v>54</v>
      </c>
      <c r="B80" s="75">
        <v>19.939122285347544</v>
      </c>
      <c r="C80" s="75">
        <v>1.2608777146524552</v>
      </c>
    </row>
    <row r="81" spans="1:3" x14ac:dyDescent="0.3">
      <c r="A81" s="43">
        <v>55</v>
      </c>
      <c r="B81" s="75">
        <v>20.396688585002419</v>
      </c>
      <c r="C81" s="75">
        <v>-0.19668858500241981</v>
      </c>
    </row>
    <row r="82" spans="1:3" x14ac:dyDescent="0.3">
      <c r="A82" s="43">
        <v>56</v>
      </c>
      <c r="B82" s="75">
        <v>21.287084986738297</v>
      </c>
      <c r="C82" s="75">
        <v>2.4129150132617028</v>
      </c>
    </row>
    <row r="83" spans="1:3" x14ac:dyDescent="0.3">
      <c r="A83" s="43">
        <v>57</v>
      </c>
      <c r="B83" s="75">
        <v>8.5164269042294958</v>
      </c>
      <c r="C83" s="75">
        <v>-3.0164269042294958</v>
      </c>
    </row>
    <row r="84" spans="1:3" x14ac:dyDescent="0.3">
      <c r="A84" s="43">
        <v>58</v>
      </c>
      <c r="B84" s="75">
        <v>12.787382741488015</v>
      </c>
      <c r="C84" s="75">
        <v>0.41261725851198428</v>
      </c>
    </row>
    <row r="85" spans="1:3" x14ac:dyDescent="0.3">
      <c r="A85" s="43">
        <v>59</v>
      </c>
      <c r="B85" s="75">
        <v>21.900488593930525</v>
      </c>
      <c r="C85" s="75">
        <v>1.8995114060694753</v>
      </c>
    </row>
    <row r="86" spans="1:3" x14ac:dyDescent="0.3">
      <c r="A86" s="43">
        <v>60</v>
      </c>
      <c r="B86" s="75">
        <v>18.152206881110825</v>
      </c>
      <c r="C86" s="75">
        <v>0.24779311888917377</v>
      </c>
    </row>
    <row r="87" spans="1:3" x14ac:dyDescent="0.3">
      <c r="A87" s="43">
        <v>61</v>
      </c>
      <c r="B87" s="75">
        <v>5.7515644642328034</v>
      </c>
      <c r="C87" s="75">
        <v>2.3484355357671962</v>
      </c>
    </row>
    <row r="88" spans="1:3" x14ac:dyDescent="0.3">
      <c r="A88" s="43">
        <v>62</v>
      </c>
      <c r="B88" s="75">
        <v>22.895655275604174</v>
      </c>
      <c r="C88" s="75">
        <v>1.3043447243958255</v>
      </c>
    </row>
    <row r="89" spans="1:3" x14ac:dyDescent="0.3">
      <c r="A89" s="43">
        <v>63</v>
      </c>
      <c r="B89" s="75">
        <v>16.805675950374493</v>
      </c>
      <c r="C89" s="75">
        <v>-1.1056759503744935</v>
      </c>
    </row>
    <row r="90" spans="1:3" x14ac:dyDescent="0.3">
      <c r="A90" s="43">
        <v>64</v>
      </c>
      <c r="B90" s="75">
        <v>13.218653824644788</v>
      </c>
      <c r="C90" s="75">
        <v>0.78134617535521222</v>
      </c>
    </row>
    <row r="91" spans="1:3" x14ac:dyDescent="0.3">
      <c r="A91" s="43">
        <v>65</v>
      </c>
      <c r="B91" s="75">
        <v>16.977322588262517</v>
      </c>
      <c r="C91" s="75">
        <v>1.0226774117374831</v>
      </c>
    </row>
    <row r="92" spans="1:3" x14ac:dyDescent="0.3">
      <c r="A92" s="43">
        <v>66</v>
      </c>
      <c r="B92" s="75">
        <v>7.8635474062961297</v>
      </c>
      <c r="C92" s="75">
        <v>1.436452593703871</v>
      </c>
    </row>
    <row r="93" spans="1:3" x14ac:dyDescent="0.3">
      <c r="A93" s="43">
        <v>67</v>
      </c>
      <c r="B93" s="75">
        <v>9.0205327843715928</v>
      </c>
      <c r="C93" s="75">
        <v>0.47946721562840722</v>
      </c>
    </row>
    <row r="94" spans="1:3" x14ac:dyDescent="0.3">
      <c r="A94" s="43">
        <v>68</v>
      </c>
      <c r="B94" s="75">
        <v>12.053853843725832</v>
      </c>
      <c r="C94" s="75">
        <v>1.3461461562741679</v>
      </c>
    </row>
    <row r="95" spans="1:3" x14ac:dyDescent="0.3">
      <c r="A95" s="43">
        <v>69</v>
      </c>
      <c r="B95" s="75">
        <v>18.998253366223828</v>
      </c>
      <c r="C95" s="75">
        <v>-9.825336622382963E-2</v>
      </c>
    </row>
    <row r="96" spans="1:3" x14ac:dyDescent="0.3">
      <c r="A96" s="43">
        <v>70</v>
      </c>
      <c r="B96" s="75">
        <v>21.117329290325667</v>
      </c>
      <c r="C96" s="75">
        <v>1.1826707096743334</v>
      </c>
    </row>
    <row r="97" spans="1:3" x14ac:dyDescent="0.3">
      <c r="A97" s="43">
        <v>71</v>
      </c>
      <c r="B97" s="75">
        <v>17.787621107329031</v>
      </c>
      <c r="C97" s="75">
        <v>0.51237889267097003</v>
      </c>
    </row>
    <row r="98" spans="1:3" x14ac:dyDescent="0.3">
      <c r="A98" s="43">
        <v>72</v>
      </c>
      <c r="B98" s="75">
        <v>10.634275454568254</v>
      </c>
      <c r="C98" s="75">
        <v>1.7657245454317465</v>
      </c>
    </row>
    <row r="99" spans="1:3" x14ac:dyDescent="0.3">
      <c r="A99" s="43">
        <v>73</v>
      </c>
      <c r="B99" s="75">
        <v>10.362460857974094</v>
      </c>
      <c r="C99" s="75">
        <v>-1.5624608579740933</v>
      </c>
    </row>
    <row r="100" spans="1:3" x14ac:dyDescent="0.3">
      <c r="A100" s="43">
        <v>74</v>
      </c>
      <c r="B100" s="75">
        <v>9.9156890379715321</v>
      </c>
      <c r="C100" s="75">
        <v>1.0843109620284679</v>
      </c>
    </row>
    <row r="101" spans="1:3" x14ac:dyDescent="0.3">
      <c r="A101" s="43">
        <v>75</v>
      </c>
      <c r="B101" s="75">
        <v>17.348996255798696</v>
      </c>
      <c r="C101" s="75">
        <v>-0.34899625579869564</v>
      </c>
    </row>
    <row r="102" spans="1:3" x14ac:dyDescent="0.3">
      <c r="A102" s="43">
        <v>76</v>
      </c>
      <c r="B102" s="75">
        <v>11.827421727569108</v>
      </c>
      <c r="C102" s="75">
        <v>-3.127421727569109</v>
      </c>
    </row>
    <row r="103" spans="1:3" x14ac:dyDescent="0.3">
      <c r="A103" s="43">
        <v>77</v>
      </c>
      <c r="B103" s="75">
        <v>4.4847163078797596</v>
      </c>
      <c r="C103" s="75">
        <v>2.4152836921202407</v>
      </c>
    </row>
    <row r="104" spans="1:3" x14ac:dyDescent="0.3">
      <c r="A104" s="43">
        <v>78</v>
      </c>
      <c r="B104" s="75">
        <v>13.82031677491945</v>
      </c>
      <c r="C104" s="75">
        <v>0.37968322508054975</v>
      </c>
    </row>
    <row r="105" spans="1:3" x14ac:dyDescent="0.3">
      <c r="A105" s="43">
        <v>79</v>
      </c>
      <c r="B105" s="75">
        <v>8.8109494060026101</v>
      </c>
      <c r="C105" s="75">
        <v>-3.5109494060026103</v>
      </c>
    </row>
    <row r="106" spans="1:3" x14ac:dyDescent="0.3">
      <c r="A106" s="43">
        <v>80</v>
      </c>
      <c r="B106" s="75">
        <v>9.6883998743396447</v>
      </c>
      <c r="C106" s="75">
        <v>1.3116001256603553</v>
      </c>
    </row>
    <row r="107" spans="1:3" x14ac:dyDescent="0.3">
      <c r="A107" s="43">
        <v>81</v>
      </c>
      <c r="B107" s="75">
        <v>11.448049331738343</v>
      </c>
      <c r="C107" s="75">
        <v>0.351950668261658</v>
      </c>
    </row>
    <row r="108" spans="1:3" x14ac:dyDescent="0.3">
      <c r="A108" s="43">
        <v>82</v>
      </c>
      <c r="B108" s="75">
        <v>14.670778787485421</v>
      </c>
      <c r="C108" s="75">
        <v>-2.3707787874854205</v>
      </c>
    </row>
    <row r="109" spans="1:3" x14ac:dyDescent="0.3">
      <c r="A109" s="43">
        <v>83</v>
      </c>
      <c r="B109" s="75">
        <v>10.179719231318042</v>
      </c>
      <c r="C109" s="75">
        <v>1.1202807686819582</v>
      </c>
    </row>
    <row r="110" spans="1:3" x14ac:dyDescent="0.3">
      <c r="A110" s="43">
        <v>84</v>
      </c>
      <c r="B110" s="75">
        <v>14.41235175802688</v>
      </c>
      <c r="C110" s="75">
        <v>-0.81235175802687998</v>
      </c>
    </row>
    <row r="111" spans="1:3" x14ac:dyDescent="0.3">
      <c r="A111" s="43">
        <v>85</v>
      </c>
      <c r="B111" s="75">
        <v>20.787765470498758</v>
      </c>
      <c r="C111" s="75">
        <v>0.91223452950124084</v>
      </c>
    </row>
    <row r="112" spans="1:3" x14ac:dyDescent="0.3">
      <c r="A112" s="43">
        <v>86</v>
      </c>
      <c r="B112" s="75">
        <v>15.185278370802223</v>
      </c>
      <c r="C112" s="75">
        <v>1.4721629197776309E-2</v>
      </c>
    </row>
    <row r="113" spans="1:3" x14ac:dyDescent="0.3">
      <c r="A113" s="43">
        <v>87</v>
      </c>
      <c r="B113" s="75">
        <v>11.602448921109099</v>
      </c>
      <c r="C113" s="75">
        <v>0.39755107889090091</v>
      </c>
    </row>
    <row r="114" spans="1:3" x14ac:dyDescent="0.3">
      <c r="A114" s="43">
        <v>88</v>
      </c>
      <c r="B114" s="75">
        <v>15.581627013342256</v>
      </c>
      <c r="C114" s="75">
        <v>0.4183729866577437</v>
      </c>
    </row>
    <row r="115" spans="1:3" x14ac:dyDescent="0.3">
      <c r="A115" s="43">
        <v>89</v>
      </c>
      <c r="B115" s="75">
        <v>11.699419720969209</v>
      </c>
      <c r="C115" s="75">
        <v>1.2005802790307918</v>
      </c>
    </row>
    <row r="116" spans="1:3" x14ac:dyDescent="0.3">
      <c r="A116" s="43">
        <v>90</v>
      </c>
      <c r="B116" s="75">
        <v>16.910895493135012</v>
      </c>
      <c r="C116" s="75">
        <v>-0.21089549313501266</v>
      </c>
    </row>
    <row r="117" spans="1:3" x14ac:dyDescent="0.3">
      <c r="A117" s="43">
        <v>91</v>
      </c>
      <c r="B117" s="75">
        <v>10.019472444531532</v>
      </c>
      <c r="C117" s="75">
        <v>1.1805275554684673</v>
      </c>
    </row>
    <row r="118" spans="1:3" x14ac:dyDescent="0.3">
      <c r="A118" s="43">
        <v>92</v>
      </c>
      <c r="B118" s="75">
        <v>4.4998278902409243</v>
      </c>
      <c r="C118" s="75">
        <v>2.8001721097590755</v>
      </c>
    </row>
    <row r="119" spans="1:3" x14ac:dyDescent="0.3">
      <c r="A119" s="43">
        <v>93</v>
      </c>
      <c r="B119" s="75">
        <v>19.159102611121252</v>
      </c>
      <c r="C119" s="75">
        <v>0.24089738887874645</v>
      </c>
    </row>
    <row r="120" spans="1:3" x14ac:dyDescent="0.3">
      <c r="A120" s="43">
        <v>94</v>
      </c>
      <c r="B120" s="75">
        <v>21.228454825341387</v>
      </c>
      <c r="C120" s="75">
        <v>0.9715451746586119</v>
      </c>
    </row>
    <row r="121" spans="1:3" x14ac:dyDescent="0.3">
      <c r="A121" s="43">
        <v>95</v>
      </c>
      <c r="B121" s="75">
        <v>10.49569734676292</v>
      </c>
      <c r="C121" s="75">
        <v>1.0043026532370796</v>
      </c>
    </row>
    <row r="122" spans="1:3" x14ac:dyDescent="0.3">
      <c r="A122" s="43">
        <v>96</v>
      </c>
      <c r="B122" s="75">
        <v>16.314674635134676</v>
      </c>
      <c r="C122" s="75">
        <v>0.58532536486532294</v>
      </c>
    </row>
    <row r="123" spans="1:3" x14ac:dyDescent="0.3">
      <c r="A123" s="43">
        <v>97</v>
      </c>
      <c r="B123" s="75">
        <v>12.663974829644003</v>
      </c>
      <c r="C123" s="75">
        <v>-0.96397482964400361</v>
      </c>
    </row>
    <row r="124" spans="1:3" x14ac:dyDescent="0.3">
      <c r="A124" s="43">
        <v>98</v>
      </c>
      <c r="B124" s="75">
        <v>15.352497237146574</v>
      </c>
      <c r="C124" s="75">
        <v>0.14750276285342601</v>
      </c>
    </row>
    <row r="125" spans="1:3" x14ac:dyDescent="0.3">
      <c r="A125" s="43">
        <v>99</v>
      </c>
      <c r="B125" s="75">
        <v>24.127704539724622</v>
      </c>
      <c r="C125" s="75">
        <v>1.2722954602753767</v>
      </c>
    </row>
    <row r="126" spans="1:3" x14ac:dyDescent="0.3">
      <c r="A126" s="43">
        <v>100</v>
      </c>
      <c r="B126" s="75">
        <v>16.935566694437323</v>
      </c>
      <c r="C126" s="75">
        <v>0.26443330556267597</v>
      </c>
    </row>
    <row r="127" spans="1:3" x14ac:dyDescent="0.3">
      <c r="A127" s="43">
        <v>101</v>
      </c>
      <c r="B127" s="75">
        <v>13.893000303187726</v>
      </c>
      <c r="C127" s="75">
        <v>-2.193000303187727</v>
      </c>
    </row>
    <row r="128" spans="1:3" x14ac:dyDescent="0.3">
      <c r="A128" s="43">
        <v>102</v>
      </c>
      <c r="B128" s="75">
        <v>23.239321215979746</v>
      </c>
      <c r="C128" s="75">
        <v>0.56067878402025428</v>
      </c>
    </row>
    <row r="129" spans="1:3" x14ac:dyDescent="0.3">
      <c r="A129" s="43">
        <v>103</v>
      </c>
      <c r="B129" s="75">
        <v>17.673521034382471</v>
      </c>
      <c r="C129" s="75">
        <v>-2.8735210343824704</v>
      </c>
    </row>
    <row r="130" spans="1:3" x14ac:dyDescent="0.3">
      <c r="A130" s="43">
        <v>104</v>
      </c>
      <c r="B130" s="75">
        <v>14.780628124570974</v>
      </c>
      <c r="C130" s="75">
        <v>-8.0628124570974791E-2</v>
      </c>
    </row>
    <row r="131" spans="1:3" x14ac:dyDescent="0.3">
      <c r="A131" s="43">
        <v>105</v>
      </c>
      <c r="B131" s="75">
        <v>20.322038075323885</v>
      </c>
      <c r="C131" s="75">
        <v>0.37796192467611434</v>
      </c>
    </row>
    <row r="132" spans="1:3" x14ac:dyDescent="0.3">
      <c r="A132" s="43">
        <v>106</v>
      </c>
      <c r="B132" s="75">
        <v>17.926118902529367</v>
      </c>
      <c r="C132" s="75">
        <v>1.2738810974706318</v>
      </c>
    </row>
    <row r="133" spans="1:3" x14ac:dyDescent="0.3">
      <c r="A133" s="43">
        <v>107</v>
      </c>
      <c r="B133" s="75">
        <v>6.1265856945587887</v>
      </c>
      <c r="C133" s="75">
        <v>1.0734143054412115</v>
      </c>
    </row>
    <row r="134" spans="1:3" x14ac:dyDescent="0.3">
      <c r="A134" s="43">
        <v>108</v>
      </c>
      <c r="B134" s="75">
        <v>7.1217600366041491</v>
      </c>
      <c r="C134" s="75">
        <v>1.5782399633958502</v>
      </c>
    </row>
    <row r="135" spans="1:3" x14ac:dyDescent="0.3">
      <c r="A135" s="43">
        <v>109</v>
      </c>
      <c r="B135" s="75">
        <v>3.5918733549429573</v>
      </c>
      <c r="C135" s="75">
        <v>1.7081266450570425</v>
      </c>
    </row>
    <row r="136" spans="1:3" x14ac:dyDescent="0.3">
      <c r="A136" s="43">
        <v>110</v>
      </c>
      <c r="B136" s="75">
        <v>19.718348290407338</v>
      </c>
      <c r="C136" s="75">
        <v>8.1651709592662769E-2</v>
      </c>
    </row>
    <row r="137" spans="1:3" x14ac:dyDescent="0.3">
      <c r="A137" s="43">
        <v>111</v>
      </c>
      <c r="B137" s="75">
        <v>14.773736569059263</v>
      </c>
      <c r="C137" s="75">
        <v>-1.3737365690592629</v>
      </c>
    </row>
    <row r="138" spans="1:3" x14ac:dyDescent="0.3">
      <c r="A138" s="43">
        <v>112</v>
      </c>
      <c r="B138" s="75">
        <v>21.154682238661881</v>
      </c>
      <c r="C138" s="75">
        <v>0.64531776133812002</v>
      </c>
    </row>
    <row r="139" spans="1:3" x14ac:dyDescent="0.3">
      <c r="A139" s="43">
        <v>113</v>
      </c>
      <c r="B139" s="75">
        <v>13.903209756660377</v>
      </c>
      <c r="C139" s="75">
        <v>0.19679024333962225</v>
      </c>
    </row>
    <row r="140" spans="1:3" x14ac:dyDescent="0.3">
      <c r="A140" s="43">
        <v>114</v>
      </c>
      <c r="B140" s="75">
        <v>16.425320717789667</v>
      </c>
      <c r="C140" s="75">
        <v>-0.5253207177896666</v>
      </c>
    </row>
    <row r="141" spans="1:3" x14ac:dyDescent="0.3">
      <c r="A141" s="43">
        <v>115</v>
      </c>
      <c r="B141" s="75">
        <v>15.296070410172021</v>
      </c>
      <c r="C141" s="75">
        <v>-0.69607041017202143</v>
      </c>
    </row>
    <row r="142" spans="1:3" x14ac:dyDescent="0.3">
      <c r="A142" s="43">
        <v>116</v>
      </c>
      <c r="B142" s="75">
        <v>12.909238237573879</v>
      </c>
      <c r="C142" s="75">
        <v>-0.30923823757387936</v>
      </c>
    </row>
    <row r="143" spans="1:3" x14ac:dyDescent="0.3">
      <c r="A143" s="43">
        <v>117</v>
      </c>
      <c r="B143" s="75">
        <v>11.990945312279209</v>
      </c>
      <c r="C143" s="75">
        <v>0.20905468772079061</v>
      </c>
    </row>
    <row r="144" spans="1:3" x14ac:dyDescent="0.3">
      <c r="A144" s="43">
        <v>118</v>
      </c>
      <c r="B144" s="75">
        <v>6.5849918514005523</v>
      </c>
      <c r="C144" s="75">
        <v>2.815008148599448</v>
      </c>
    </row>
    <row r="145" spans="1:3" x14ac:dyDescent="0.3">
      <c r="A145" s="43">
        <v>119</v>
      </c>
      <c r="B145" s="75">
        <v>15.55196414835263</v>
      </c>
      <c r="C145" s="75">
        <v>0.34803585164737072</v>
      </c>
    </row>
    <row r="146" spans="1:3" x14ac:dyDescent="0.3">
      <c r="A146" s="43">
        <v>120</v>
      </c>
      <c r="B146" s="75">
        <v>6.8204357568963134</v>
      </c>
      <c r="C146" s="75">
        <v>-0.22043575689631378</v>
      </c>
    </row>
    <row r="147" spans="1:3" x14ac:dyDescent="0.3">
      <c r="A147" s="43">
        <v>121</v>
      </c>
      <c r="B147" s="75">
        <v>14.411485525291518</v>
      </c>
      <c r="C147" s="75">
        <v>1.0885144747084823</v>
      </c>
    </row>
    <row r="148" spans="1:3" x14ac:dyDescent="0.3">
      <c r="A148" s="43">
        <v>122</v>
      </c>
      <c r="B148" s="75">
        <v>7.8276265027295899</v>
      </c>
      <c r="C148" s="75">
        <v>-0.82762650272958993</v>
      </c>
    </row>
    <row r="149" spans="1:3" x14ac:dyDescent="0.3">
      <c r="A149" s="43">
        <v>123</v>
      </c>
      <c r="B149" s="75">
        <v>13.654849264865341</v>
      </c>
      <c r="C149" s="75">
        <v>-2.0548492648653411</v>
      </c>
    </row>
    <row r="150" spans="1:3" x14ac:dyDescent="0.3">
      <c r="A150" s="43">
        <v>124</v>
      </c>
      <c r="B150" s="75">
        <v>15.089714714705979</v>
      </c>
      <c r="C150" s="75">
        <v>0.1102852852940206</v>
      </c>
    </row>
    <row r="151" spans="1:3" x14ac:dyDescent="0.3">
      <c r="A151" s="43">
        <v>125</v>
      </c>
      <c r="B151" s="75">
        <v>19.454121742079849</v>
      </c>
      <c r="C151" s="75">
        <v>0.24587825792015039</v>
      </c>
    </row>
    <row r="152" spans="1:3" x14ac:dyDescent="0.3">
      <c r="A152" s="43">
        <v>126</v>
      </c>
      <c r="B152" s="75">
        <v>9.1351066228184319</v>
      </c>
      <c r="C152" s="75">
        <v>1.4648933771815678</v>
      </c>
    </row>
    <row r="153" spans="1:3" x14ac:dyDescent="0.3">
      <c r="A153" s="43">
        <v>127</v>
      </c>
      <c r="B153" s="75">
        <v>10.559039621124727</v>
      </c>
      <c r="C153" s="75">
        <v>-3.9590396211247274</v>
      </c>
    </row>
    <row r="154" spans="1:3" x14ac:dyDescent="0.3">
      <c r="A154" s="43">
        <v>128</v>
      </c>
      <c r="B154" s="75">
        <v>6.6162870464763683</v>
      </c>
      <c r="C154" s="75">
        <v>2.1837129535236324</v>
      </c>
    </row>
    <row r="155" spans="1:3" x14ac:dyDescent="0.3">
      <c r="A155" s="43">
        <v>129</v>
      </c>
      <c r="B155" s="75">
        <v>22.269683142156484</v>
      </c>
      <c r="C155" s="75">
        <v>2.4303168578435148</v>
      </c>
    </row>
    <row r="156" spans="1:3" x14ac:dyDescent="0.3">
      <c r="A156" s="43">
        <v>130</v>
      </c>
      <c r="B156" s="75">
        <v>7.8837127666662843</v>
      </c>
      <c r="C156" s="75">
        <v>1.816287233333715</v>
      </c>
    </row>
    <row r="157" spans="1:3" x14ac:dyDescent="0.3">
      <c r="A157" s="43">
        <v>131</v>
      </c>
      <c r="B157" s="75">
        <v>10.421391117881434</v>
      </c>
      <c r="C157" s="75">
        <v>-8.8213911178814346</v>
      </c>
    </row>
    <row r="158" spans="1:3" x14ac:dyDescent="0.3">
      <c r="A158" s="43">
        <v>132</v>
      </c>
      <c r="B158" s="75">
        <v>15.601808548087334</v>
      </c>
      <c r="C158" s="75">
        <v>-2.9018085480873346</v>
      </c>
    </row>
    <row r="159" spans="1:3" x14ac:dyDescent="0.3">
      <c r="A159" s="43">
        <v>133</v>
      </c>
      <c r="B159" s="75">
        <v>8.4503469293701059</v>
      </c>
      <c r="C159" s="75">
        <v>-2.7503469293701057</v>
      </c>
    </row>
    <row r="160" spans="1:3" x14ac:dyDescent="0.3">
      <c r="A160" s="43">
        <v>134</v>
      </c>
      <c r="B160" s="75">
        <v>19.274098270583192</v>
      </c>
      <c r="C160" s="75">
        <v>0.32590172941680962</v>
      </c>
    </row>
    <row r="161" spans="1:3" x14ac:dyDescent="0.3">
      <c r="A161" s="43">
        <v>135</v>
      </c>
      <c r="B161" s="75">
        <v>11.817153921148019</v>
      </c>
      <c r="C161" s="75">
        <v>-1.0171539211480187</v>
      </c>
    </row>
    <row r="162" spans="1:3" x14ac:dyDescent="0.3">
      <c r="A162" s="43">
        <v>136</v>
      </c>
      <c r="B162" s="75">
        <v>13.997227397594742</v>
      </c>
      <c r="C162" s="75">
        <v>-2.397227397594742</v>
      </c>
    </row>
    <row r="163" spans="1:3" x14ac:dyDescent="0.3">
      <c r="A163" s="43">
        <v>137</v>
      </c>
      <c r="B163" s="75">
        <v>11.449768618939208</v>
      </c>
      <c r="C163" s="75">
        <v>-1.9497686189392081</v>
      </c>
    </row>
    <row r="164" spans="1:3" x14ac:dyDescent="0.3">
      <c r="A164" s="43">
        <v>138</v>
      </c>
      <c r="B164" s="75">
        <v>20.861184956925694</v>
      </c>
      <c r="C164" s="75">
        <v>-6.1184956925693257E-2</v>
      </c>
    </row>
    <row r="165" spans="1:3" x14ac:dyDescent="0.3">
      <c r="A165" s="43">
        <v>139</v>
      </c>
      <c r="B165" s="75">
        <v>9.7680065841827766</v>
      </c>
      <c r="C165" s="75">
        <v>-0.16800658418277692</v>
      </c>
    </row>
    <row r="166" spans="1:3" x14ac:dyDescent="0.3">
      <c r="A166" s="43">
        <v>140</v>
      </c>
      <c r="B166" s="75">
        <v>19.688451176861669</v>
      </c>
      <c r="C166" s="75">
        <v>1.0115488231383303</v>
      </c>
    </row>
    <row r="167" spans="1:3" x14ac:dyDescent="0.3">
      <c r="A167" s="43">
        <v>141</v>
      </c>
      <c r="B167" s="75">
        <v>9.4980062928232769</v>
      </c>
      <c r="C167" s="75">
        <v>1.4019937071767234</v>
      </c>
    </row>
    <row r="168" spans="1:3" x14ac:dyDescent="0.3">
      <c r="A168" s="43">
        <v>142</v>
      </c>
      <c r="B168" s="75">
        <v>18.393492416913599</v>
      </c>
      <c r="C168" s="75">
        <v>0.80650758308640036</v>
      </c>
    </row>
    <row r="169" spans="1:3" x14ac:dyDescent="0.3">
      <c r="A169" s="43">
        <v>143</v>
      </c>
      <c r="B169" s="75">
        <v>19.259433167464746</v>
      </c>
      <c r="C169" s="75">
        <v>0.84056683253525577</v>
      </c>
    </row>
    <row r="170" spans="1:3" x14ac:dyDescent="0.3">
      <c r="A170" s="43">
        <v>144</v>
      </c>
      <c r="B170" s="75">
        <v>8.7740357005548812</v>
      </c>
      <c r="C170" s="75">
        <v>1.6259642994451191</v>
      </c>
    </row>
    <row r="171" spans="1:3" x14ac:dyDescent="0.3">
      <c r="A171" s="43">
        <v>145</v>
      </c>
      <c r="B171" s="75">
        <v>10.094893628548119</v>
      </c>
      <c r="C171" s="75">
        <v>1.3051063714518811</v>
      </c>
    </row>
    <row r="172" spans="1:3" x14ac:dyDescent="0.3">
      <c r="A172" s="43">
        <v>146</v>
      </c>
      <c r="B172" s="75">
        <v>9.7306185403989662</v>
      </c>
      <c r="C172" s="75">
        <v>0.56938145960103448</v>
      </c>
    </row>
    <row r="173" spans="1:3" x14ac:dyDescent="0.3">
      <c r="A173" s="43">
        <v>147</v>
      </c>
      <c r="B173" s="75">
        <v>15.324514478075907</v>
      </c>
      <c r="C173" s="75">
        <v>-2.1245144780759073</v>
      </c>
    </row>
    <row r="174" spans="1:3" x14ac:dyDescent="0.3">
      <c r="A174" s="43">
        <v>148</v>
      </c>
      <c r="B174" s="75">
        <v>23.264802907225398</v>
      </c>
      <c r="C174" s="75">
        <v>2.1351970927746002</v>
      </c>
    </row>
    <row r="175" spans="1:3" x14ac:dyDescent="0.3">
      <c r="A175" s="43">
        <v>149</v>
      </c>
      <c r="B175" s="75">
        <v>12.25961681570689</v>
      </c>
      <c r="C175" s="75">
        <v>-1.3596168157068895</v>
      </c>
    </row>
    <row r="176" spans="1:3" x14ac:dyDescent="0.3">
      <c r="A176" s="43">
        <v>150</v>
      </c>
      <c r="B176" s="75">
        <v>9.8270300116391329</v>
      </c>
      <c r="C176" s="75">
        <v>0.27296998836086672</v>
      </c>
    </row>
    <row r="177" spans="1:3" x14ac:dyDescent="0.3">
      <c r="A177" s="43">
        <v>151</v>
      </c>
      <c r="B177" s="75">
        <v>18.390471303577407</v>
      </c>
      <c r="C177" s="75">
        <v>-2.2904713035774051</v>
      </c>
    </row>
    <row r="178" spans="1:3" x14ac:dyDescent="0.3">
      <c r="A178" s="43">
        <v>152</v>
      </c>
      <c r="B178" s="75">
        <v>10.01504223852551</v>
      </c>
      <c r="C178" s="75">
        <v>1.5849577614744899</v>
      </c>
    </row>
    <row r="179" spans="1:3" x14ac:dyDescent="0.3">
      <c r="A179" s="43">
        <v>153</v>
      </c>
      <c r="B179" s="75">
        <v>16.378230765763274</v>
      </c>
      <c r="C179" s="75">
        <v>0.2217692342367279</v>
      </c>
    </row>
    <row r="180" spans="1:3" x14ac:dyDescent="0.3">
      <c r="A180" s="43">
        <v>154</v>
      </c>
      <c r="B180" s="75">
        <v>18.226059567818986</v>
      </c>
      <c r="C180" s="75">
        <v>0.77394043218101416</v>
      </c>
    </row>
    <row r="181" spans="1:3" x14ac:dyDescent="0.3">
      <c r="A181" s="43">
        <v>155</v>
      </c>
      <c r="B181" s="75">
        <v>15.521120208619578</v>
      </c>
      <c r="C181" s="75">
        <v>7.8879791380421338E-2</v>
      </c>
    </row>
    <row r="182" spans="1:3" x14ac:dyDescent="0.3">
      <c r="A182" s="43">
        <v>156</v>
      </c>
      <c r="B182" s="75">
        <v>5.3131143626897881</v>
      </c>
      <c r="C182" s="75">
        <v>-2.1131143626897879</v>
      </c>
    </row>
    <row r="183" spans="1:3" x14ac:dyDescent="0.3">
      <c r="A183" s="43">
        <v>157</v>
      </c>
      <c r="B183" s="75">
        <v>15.373774830610698</v>
      </c>
      <c r="C183" s="75">
        <v>-7.3774830610696895E-2</v>
      </c>
    </row>
    <row r="184" spans="1:3" x14ac:dyDescent="0.3">
      <c r="A184" s="43">
        <v>158</v>
      </c>
      <c r="B184" s="75">
        <v>10.032901603941328</v>
      </c>
      <c r="C184" s="75">
        <v>6.7098396058671739E-2</v>
      </c>
    </row>
    <row r="185" spans="1:3" x14ac:dyDescent="0.3">
      <c r="A185" s="43">
        <v>159</v>
      </c>
      <c r="B185" s="75">
        <v>10.368870447250295</v>
      </c>
      <c r="C185" s="75">
        <v>-3.068870447250295</v>
      </c>
    </row>
    <row r="186" spans="1:3" x14ac:dyDescent="0.3">
      <c r="A186" s="43">
        <v>160</v>
      </c>
      <c r="B186" s="75">
        <v>12.406277276064976</v>
      </c>
      <c r="C186" s="75">
        <v>0.49372272393502392</v>
      </c>
    </row>
    <row r="187" spans="1:3" x14ac:dyDescent="0.3">
      <c r="A187" s="43">
        <v>161</v>
      </c>
      <c r="B187" s="75">
        <v>14.226423255329919</v>
      </c>
      <c r="C187" s="75">
        <v>0.17357674467008088</v>
      </c>
    </row>
    <row r="188" spans="1:3" x14ac:dyDescent="0.3">
      <c r="A188" s="43">
        <v>162</v>
      </c>
      <c r="B188" s="75">
        <v>13.550512478332799</v>
      </c>
      <c r="C188" s="75">
        <v>-0.25051247833279788</v>
      </c>
    </row>
    <row r="189" spans="1:3" x14ac:dyDescent="0.3">
      <c r="A189" s="43">
        <v>163</v>
      </c>
      <c r="B189" s="75">
        <v>14.962552322514773</v>
      </c>
      <c r="C189" s="75">
        <v>-6.2552322514772385E-2</v>
      </c>
    </row>
    <row r="190" spans="1:3" x14ac:dyDescent="0.3">
      <c r="A190" s="43">
        <v>164</v>
      </c>
      <c r="B190" s="75">
        <v>17.363371854260677</v>
      </c>
      <c r="C190" s="75">
        <v>0.6366281457393228</v>
      </c>
    </row>
    <row r="191" spans="1:3" x14ac:dyDescent="0.3">
      <c r="A191" s="43">
        <v>165</v>
      </c>
      <c r="B191" s="75">
        <v>11.084284798387852</v>
      </c>
      <c r="C191" s="75">
        <v>0.81571520161214828</v>
      </c>
    </row>
    <row r="192" spans="1:3" x14ac:dyDescent="0.3">
      <c r="A192" s="43">
        <v>166</v>
      </c>
      <c r="B192" s="75">
        <v>14.231621583730391</v>
      </c>
      <c r="C192" s="75">
        <v>-2.3316215837303904</v>
      </c>
    </row>
    <row r="193" spans="1:3" x14ac:dyDescent="0.3">
      <c r="A193" s="43">
        <v>167</v>
      </c>
      <c r="B193" s="75">
        <v>10.81665788355733</v>
      </c>
      <c r="C193" s="75">
        <v>-2.8166578835573297</v>
      </c>
    </row>
    <row r="194" spans="1:3" x14ac:dyDescent="0.3">
      <c r="A194" s="43">
        <v>168</v>
      </c>
      <c r="B194" s="75">
        <v>13.38766583985292</v>
      </c>
      <c r="C194" s="75">
        <v>-1.1876658398529205</v>
      </c>
    </row>
    <row r="195" spans="1:3" x14ac:dyDescent="0.3">
      <c r="A195" s="43">
        <v>169</v>
      </c>
      <c r="B195" s="75">
        <v>17.192786877776829</v>
      </c>
      <c r="C195" s="75">
        <v>-9.2786877776827481E-2</v>
      </c>
    </row>
    <row r="196" spans="1:3" x14ac:dyDescent="0.3">
      <c r="A196" s="43">
        <v>170</v>
      </c>
      <c r="B196" s="75">
        <v>17.975803530685578</v>
      </c>
      <c r="C196" s="75">
        <v>-2.9758035306855781</v>
      </c>
    </row>
    <row r="197" spans="1:3" x14ac:dyDescent="0.3">
      <c r="A197" s="43">
        <v>171</v>
      </c>
      <c r="B197" s="75">
        <v>7.4013210243057319</v>
      </c>
      <c r="C197" s="75">
        <v>0.99867897569426844</v>
      </c>
    </row>
    <row r="198" spans="1:3" x14ac:dyDescent="0.3">
      <c r="A198" s="43">
        <v>172</v>
      </c>
      <c r="B198" s="75">
        <v>14.363878753224981</v>
      </c>
      <c r="C198" s="75">
        <v>0.13612124677501924</v>
      </c>
    </row>
    <row r="199" spans="1:3" x14ac:dyDescent="0.3">
      <c r="A199" s="43">
        <v>173</v>
      </c>
      <c r="B199" s="75">
        <v>7.6081529880050693</v>
      </c>
      <c r="C199" s="75">
        <v>-8.1529880050696946E-3</v>
      </c>
    </row>
    <row r="200" spans="1:3" x14ac:dyDescent="0.3">
      <c r="A200" s="43">
        <v>174</v>
      </c>
      <c r="B200" s="75">
        <v>11.992750262156147</v>
      </c>
      <c r="C200" s="75">
        <v>-0.2927502621561473</v>
      </c>
    </row>
    <row r="201" spans="1:3" x14ac:dyDescent="0.3">
      <c r="A201" s="43">
        <v>175</v>
      </c>
      <c r="B201" s="75">
        <v>13.772973853563704</v>
      </c>
      <c r="C201" s="75">
        <v>-2.2729738535637036</v>
      </c>
    </row>
    <row r="202" spans="1:3" x14ac:dyDescent="0.3">
      <c r="A202" s="43">
        <v>176</v>
      </c>
      <c r="B202" s="75">
        <v>24.795046369465211</v>
      </c>
      <c r="C202" s="75">
        <v>2.2049536305347885</v>
      </c>
    </row>
    <row r="203" spans="1:3" x14ac:dyDescent="0.3">
      <c r="A203" s="43">
        <v>177</v>
      </c>
      <c r="B203" s="75">
        <v>19.99829905017862</v>
      </c>
      <c r="C203" s="75">
        <v>0.20170094982137954</v>
      </c>
    </row>
    <row r="204" spans="1:3" x14ac:dyDescent="0.3">
      <c r="A204" s="43">
        <v>178</v>
      </c>
      <c r="B204" s="75">
        <v>12.176919493084652</v>
      </c>
      <c r="C204" s="75">
        <v>-0.47691949308465276</v>
      </c>
    </row>
    <row r="205" spans="1:3" x14ac:dyDescent="0.3">
      <c r="A205" s="43">
        <v>179</v>
      </c>
      <c r="B205" s="75">
        <v>16.042313230345659</v>
      </c>
      <c r="C205" s="75">
        <v>-4.2423132303456583</v>
      </c>
    </row>
    <row r="206" spans="1:3" x14ac:dyDescent="0.3">
      <c r="A206" s="43">
        <v>180</v>
      </c>
      <c r="B206" s="75">
        <v>12.40351542304013</v>
      </c>
      <c r="C206" s="75">
        <v>0.19648457695986998</v>
      </c>
    </row>
    <row r="207" spans="1:3" x14ac:dyDescent="0.3">
      <c r="A207" s="43">
        <v>181</v>
      </c>
      <c r="B207" s="75">
        <v>10.610888670940094</v>
      </c>
      <c r="C207" s="75">
        <v>-0.1108886709400938</v>
      </c>
    </row>
    <row r="208" spans="1:3" x14ac:dyDescent="0.3">
      <c r="A208" s="43">
        <v>182</v>
      </c>
      <c r="B208" s="75">
        <v>13.951184950858135</v>
      </c>
      <c r="C208" s="75">
        <v>-1.7511849508581356</v>
      </c>
    </row>
    <row r="209" spans="1:3" x14ac:dyDescent="0.3">
      <c r="A209" s="43">
        <v>183</v>
      </c>
      <c r="B209" s="75">
        <v>6.5604140604254457</v>
      </c>
      <c r="C209" s="75">
        <v>2.1395859395745536</v>
      </c>
    </row>
    <row r="210" spans="1:3" x14ac:dyDescent="0.3">
      <c r="A210" s="43">
        <v>184</v>
      </c>
      <c r="B210" s="75">
        <v>24.135413070864491</v>
      </c>
      <c r="C210" s="75">
        <v>2.0645869291355083</v>
      </c>
    </row>
    <row r="211" spans="1:3" x14ac:dyDescent="0.3">
      <c r="A211" s="43">
        <v>185</v>
      </c>
      <c r="B211" s="75">
        <v>18.558392951388267</v>
      </c>
      <c r="C211" s="75">
        <v>-0.95839295138826586</v>
      </c>
    </row>
    <row r="212" spans="1:3" x14ac:dyDescent="0.3">
      <c r="A212" s="43">
        <v>186</v>
      </c>
      <c r="B212" s="75">
        <v>20.812098768130216</v>
      </c>
      <c r="C212" s="75">
        <v>1.7879012318697853</v>
      </c>
    </row>
    <row r="213" spans="1:3" x14ac:dyDescent="0.3">
      <c r="A213" s="43">
        <v>187</v>
      </c>
      <c r="B213" s="75">
        <v>9.7079083237841459</v>
      </c>
      <c r="C213" s="75">
        <v>0.59209167621585479</v>
      </c>
    </row>
    <row r="214" spans="1:3" x14ac:dyDescent="0.3">
      <c r="A214" s="43">
        <v>188</v>
      </c>
      <c r="B214" s="75">
        <v>17.09074469346896</v>
      </c>
      <c r="C214" s="75">
        <v>0.20925530653104119</v>
      </c>
    </row>
    <row r="215" spans="1:3" x14ac:dyDescent="0.3">
      <c r="A215" s="43">
        <v>189</v>
      </c>
      <c r="B215" s="75">
        <v>18.678305549185243</v>
      </c>
      <c r="C215" s="75">
        <v>-2.7783055491852426</v>
      </c>
    </row>
    <row r="216" spans="1:3" x14ac:dyDescent="0.3">
      <c r="A216" s="43">
        <v>190</v>
      </c>
      <c r="B216" s="75">
        <v>6.0530588162491012</v>
      </c>
      <c r="C216" s="75">
        <v>0.64694118375089893</v>
      </c>
    </row>
    <row r="217" spans="1:3" x14ac:dyDescent="0.3">
      <c r="A217" s="43">
        <v>191</v>
      </c>
      <c r="B217" s="75">
        <v>12.48713401746048</v>
      </c>
      <c r="C217" s="75">
        <v>-1.6871340174604796</v>
      </c>
    </row>
    <row r="218" spans="1:3" x14ac:dyDescent="0.3">
      <c r="A218" s="43">
        <v>192</v>
      </c>
      <c r="B218" s="75">
        <v>8.4370548714212017</v>
      </c>
      <c r="C218" s="75">
        <v>1.4629451285787987</v>
      </c>
    </row>
    <row r="219" spans="1:3" x14ac:dyDescent="0.3">
      <c r="A219" s="43">
        <v>193</v>
      </c>
      <c r="B219" s="75">
        <v>4.4680262821431089</v>
      </c>
      <c r="C219" s="75">
        <v>1.4319737178568914</v>
      </c>
    </row>
    <row r="220" spans="1:3" x14ac:dyDescent="0.3">
      <c r="A220" s="43">
        <v>194</v>
      </c>
      <c r="B220" s="75">
        <v>18.49822680257941</v>
      </c>
      <c r="C220" s="75">
        <v>1.1017731974205915</v>
      </c>
    </row>
    <row r="221" spans="1:3" x14ac:dyDescent="0.3">
      <c r="A221" s="43">
        <v>195</v>
      </c>
      <c r="B221" s="75">
        <v>16.506513482169407</v>
      </c>
      <c r="C221" s="75">
        <v>0.7934865178305941</v>
      </c>
    </row>
    <row r="222" spans="1:3" x14ac:dyDescent="0.3">
      <c r="A222" s="43">
        <v>196</v>
      </c>
      <c r="B222" s="75">
        <v>5.3798772939656976</v>
      </c>
      <c r="C222" s="75">
        <v>2.2201227060343021</v>
      </c>
    </row>
    <row r="223" spans="1:3" x14ac:dyDescent="0.3">
      <c r="A223" s="43">
        <v>197</v>
      </c>
      <c r="B223" s="75">
        <v>8.1818397935169038</v>
      </c>
      <c r="C223" s="75">
        <v>1.5181602064830955</v>
      </c>
    </row>
    <row r="224" spans="1:3" x14ac:dyDescent="0.3">
      <c r="A224" s="43">
        <v>198</v>
      </c>
      <c r="B224" s="75">
        <v>12.809735075018446</v>
      </c>
      <c r="C224" s="75">
        <v>-9.7350750184457269E-3</v>
      </c>
    </row>
    <row r="225" spans="1:3" x14ac:dyDescent="0.3">
      <c r="A225" s="43">
        <v>199</v>
      </c>
      <c r="B225" s="75">
        <v>23.771319509241035</v>
      </c>
      <c r="C225" s="75">
        <v>1.7286804907589648</v>
      </c>
    </row>
    <row r="226" spans="1:3" x14ac:dyDescent="0.3">
      <c r="A226" s="43">
        <v>200</v>
      </c>
      <c r="B226" s="75">
        <v>13.584073857167658</v>
      </c>
      <c r="C226" s="75">
        <v>-0.18407385716765745</v>
      </c>
    </row>
  </sheetData>
  <mergeCells count="1">
    <mergeCell ref="F1:G2"/>
  </mergeCells>
  <conditionalFormatting sqref="B1:E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advertising_Dataset</vt:lpstr>
      <vt:lpstr>Descriptive Analysis</vt:lpstr>
      <vt:lpstr>Matrix analyst and Dimens</vt:lpstr>
      <vt:lpstr>Predicted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</dc:creator>
  <cp:lastModifiedBy>yousef nasibi</cp:lastModifiedBy>
  <dcterms:created xsi:type="dcterms:W3CDTF">2026-06-04T14:50:41Z</dcterms:created>
  <dcterms:modified xsi:type="dcterms:W3CDTF">2026-08-16T20:50:12Z</dcterms:modified>
</cp:coreProperties>
</file>